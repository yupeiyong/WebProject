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comments8.xml" ContentType="application/vnd.openxmlformats-officedocument.spreadsheetml.comments+xml"/>
  <Override PartName="/xl/drawings/drawing12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showSheetTabs="0" xWindow="900" yWindow="105" windowWidth="12120" windowHeight="8190" tabRatio="839"/>
  </bookViews>
  <sheets>
    <sheet name="Index" sheetId="27" r:id="rId1"/>
    <sheet name="ChuKuJi" sheetId="33" state="veryHidden" r:id="rId2"/>
    <sheet name="RuKuJi" sheetId="32" state="veryHidden" r:id="rId3"/>
    <sheet name="Data" sheetId="10" state="veryHidden" r:id="rId4"/>
    <sheet name="SanTem" sheetId="34" state="veryHidden" r:id="rId5"/>
    <sheet name="SanLan" sheetId="20" state="veryHidden" r:id="rId6"/>
    <sheet name="KuCunCha" sheetId="11" state="veryHidden" r:id="rId7"/>
    <sheet name="JinXiao" sheetId="12" state="veryHidden" r:id="rId8"/>
    <sheet name="DanPin" sheetId="13" state="veryHidden" r:id="rId9"/>
    <sheet name="GaoJi" sheetId="19" state="veryHidden" r:id="rId10"/>
    <sheet name="ZiLiao" sheetId="16" state="veryHidden" r:id="rId11"/>
    <sheet name="JinChu" sheetId="36" state="veryHidden" r:id="rId12"/>
    <sheet name="DanCha" sheetId="35" state="veryHidden" r:id="rId13"/>
    <sheet name="User" sheetId="23" state="veryHidden" r:id="rId14"/>
    <sheet name="SysInfo" sheetId="30" state="veryHidden" r:id="rId15"/>
  </sheets>
  <functionGroups builtInGroupCount="17"/>
  <definedNames>
    <definedName name="_xlnm._FilterDatabase" localSheetId="12" hidden="1">DanCha!$A$5:$I$10</definedName>
    <definedName name="_xlnm._FilterDatabase" localSheetId="8" hidden="1">DanPin!$A$5:$P$6</definedName>
    <definedName name="_xlnm._FilterDatabase" localSheetId="3" hidden="1">Data!$A$1:$P$1</definedName>
    <definedName name="_xlnm._FilterDatabase" localSheetId="9" hidden="1">GaoJi!$A$5:$P$6</definedName>
    <definedName name="_xlnm._FilterDatabase" localSheetId="11" hidden="1">JinChu!$A$6:$M$11</definedName>
    <definedName name="_xlnm._FilterDatabase" localSheetId="7" hidden="1">JinXiao!$A$6:$O$12</definedName>
    <definedName name="_xlnm._FilterDatabase" localSheetId="6" hidden="1">KuCunCha!$A$5:$J$11</definedName>
    <definedName name="_xlnm._FilterDatabase" localSheetId="10" hidden="1">ZiLiao!$A$4:$M$10</definedName>
    <definedName name="_xlnm.Print_Area" localSheetId="1">ChuKuJi!$B$1:$K$107</definedName>
    <definedName name="_xlnm.Print_Area" localSheetId="2">RuKuJi!$B$1:$K$107</definedName>
  </definedNames>
  <calcPr calcId="145621"/>
</workbook>
</file>

<file path=xl/calcChain.xml><?xml version="1.0" encoding="utf-8"?>
<calcChain xmlns="http://schemas.openxmlformats.org/spreadsheetml/2006/main">
  <c r="D1" i="33" l="1"/>
  <c r="D1" i="32"/>
  <c r="K106" i="33"/>
  <c r="D106" i="33"/>
  <c r="K106" i="32"/>
  <c r="D106" i="32"/>
</calcChain>
</file>

<file path=xl/comments1.xml><?xml version="1.0" encoding="utf-8"?>
<comments xmlns="http://schemas.openxmlformats.org/spreadsheetml/2006/main">
  <authors>
    <author>diaoxinya</author>
  </authors>
  <commentList>
    <comment ref="K3" authorId="0">
      <text>
        <r>
          <rPr>
            <sz val="9"/>
            <color indexed="81"/>
            <rFont val="宋体"/>
            <charset val="134"/>
          </rPr>
          <t>可以自动生成单号，也可以手动输入单号。
如需查询单据，点击右侧“查询”按钮，将会列出以前所有单据。</t>
        </r>
      </text>
    </comment>
    <comment ref="D4" authorId="0">
      <text>
        <r>
          <rPr>
            <sz val="9"/>
            <color indexed="81"/>
            <rFont val="宋体"/>
            <charset val="134"/>
          </rPr>
          <t>双击单元格，可以弹出选择窗口</t>
        </r>
      </text>
    </comment>
    <comment ref="H4" authorId="0">
      <text>
        <r>
          <rPr>
            <sz val="9"/>
            <color indexed="81"/>
            <rFont val="宋体"/>
            <charset val="134"/>
          </rPr>
          <t>双击单元格，可以弹出选择窗口</t>
        </r>
      </text>
    </comment>
    <comment ref="K4" authorId="0">
      <text>
        <r>
          <rPr>
            <sz val="9"/>
            <color indexed="81"/>
            <rFont val="宋体"/>
            <charset val="134"/>
          </rPr>
          <t>双击单元格，可以弹出选择窗口</t>
        </r>
      </text>
    </comment>
    <comment ref="C6" authorId="0">
      <text>
        <r>
          <rPr>
            <sz val="9"/>
            <color indexed="81"/>
            <rFont val="宋体"/>
            <charset val="134"/>
          </rPr>
          <t>可以直接输入货物编号，自动列出货物信息。也可以双击单元格，在弹出窗口中选择货物。</t>
        </r>
      </text>
    </comment>
    <comment ref="G6" authorId="0">
      <text>
        <r>
          <rPr>
            <sz val="9"/>
            <color indexed="81"/>
            <rFont val="宋体"/>
            <charset val="134"/>
          </rPr>
          <t>默认调用货物列表里的参考单价。
此处可以修改成任意单价，每一张单据的单价都可以不同。</t>
        </r>
      </text>
    </comment>
    <comment ref="E107" authorId="0">
      <text>
        <r>
          <rPr>
            <sz val="9"/>
            <color indexed="81"/>
            <rFont val="宋体"/>
            <charset val="134"/>
          </rPr>
          <t>双击单元格，可以弹出选择窗口</t>
        </r>
      </text>
    </comment>
    <comment ref="K107" authorId="0">
      <text>
        <r>
          <rPr>
            <sz val="9"/>
            <color indexed="81"/>
            <rFont val="宋体"/>
            <charset val="134"/>
          </rPr>
          <t>双击单元格，可以弹出选择窗口</t>
        </r>
      </text>
    </comment>
  </commentList>
</comments>
</file>

<file path=xl/comments2.xml><?xml version="1.0" encoding="utf-8"?>
<comments xmlns="http://schemas.openxmlformats.org/spreadsheetml/2006/main">
  <authors>
    <author>diaoxinya</author>
  </authors>
  <commentList>
    <comment ref="K3" authorId="0">
      <text>
        <r>
          <rPr>
            <sz val="9"/>
            <color indexed="81"/>
            <rFont val="宋体"/>
            <charset val="134"/>
          </rPr>
          <t>可以自动生成单号，也可以手动输入单号。
如需查询单据，点击右侧“查询”按钮，将会列出以前所有单据。</t>
        </r>
      </text>
    </comment>
    <comment ref="D4" authorId="0">
      <text>
        <r>
          <rPr>
            <sz val="9"/>
            <color indexed="81"/>
            <rFont val="宋体"/>
            <charset val="134"/>
          </rPr>
          <t>双击单元格，可以弹出选择窗口</t>
        </r>
      </text>
    </comment>
    <comment ref="H4" authorId="0">
      <text>
        <r>
          <rPr>
            <sz val="9"/>
            <color indexed="81"/>
            <rFont val="宋体"/>
            <charset val="134"/>
          </rPr>
          <t>双击单元格，可以弹出选择窗口</t>
        </r>
      </text>
    </comment>
    <comment ref="K4" authorId="0">
      <text>
        <r>
          <rPr>
            <sz val="9"/>
            <color indexed="81"/>
            <rFont val="宋体"/>
            <charset val="134"/>
          </rPr>
          <t>双击单元格，可以弹出选择窗口</t>
        </r>
      </text>
    </comment>
    <comment ref="C6" authorId="0">
      <text>
        <r>
          <rPr>
            <sz val="9"/>
            <color indexed="81"/>
            <rFont val="宋体"/>
            <charset val="134"/>
          </rPr>
          <t>可以直接输入货物编号，自动列出货物信息。也可以双击单元格，在弹出窗口中选择货物。</t>
        </r>
      </text>
    </comment>
    <comment ref="G6" authorId="0">
      <text>
        <r>
          <rPr>
            <sz val="9"/>
            <color indexed="81"/>
            <rFont val="宋体"/>
            <charset val="134"/>
          </rPr>
          <t>默认调用货物列表里的参考单价。
此处可以修改成任意单价，每一张单据的单价都可以不同。</t>
        </r>
      </text>
    </comment>
    <comment ref="E107" authorId="0">
      <text>
        <r>
          <rPr>
            <sz val="9"/>
            <color indexed="81"/>
            <rFont val="宋体"/>
            <charset val="134"/>
          </rPr>
          <t>双击单元格，可以弹出选择窗口</t>
        </r>
      </text>
    </comment>
    <comment ref="K107" authorId="0">
      <text>
        <r>
          <rPr>
            <sz val="9"/>
            <color indexed="81"/>
            <rFont val="宋体"/>
            <charset val="134"/>
          </rPr>
          <t>双击单元格，可以弹出选择窗口</t>
        </r>
      </text>
    </comment>
  </commentList>
</comments>
</file>

<file path=xl/comments3.xml><?xml version="1.0" encoding="utf-8"?>
<comments xmlns="http://schemas.openxmlformats.org/spreadsheetml/2006/main">
  <authors>
    <author>diaoxinya</author>
  </authors>
  <commentList>
    <comment ref="A3" authorId="0">
      <text>
        <r>
          <rPr>
            <sz val="9"/>
            <color indexed="81"/>
            <rFont val="宋体"/>
            <charset val="134"/>
          </rPr>
          <t>双击单元格，可以弹出选择窗口。不填写日期为查询全部数据。</t>
        </r>
      </text>
    </comment>
    <comment ref="B3" authorId="0">
      <text>
        <r>
          <rPr>
            <sz val="9"/>
            <color indexed="81"/>
            <rFont val="宋体"/>
            <charset val="134"/>
          </rPr>
          <t>双击单元格，可以弹出选择窗口。不填写日期为查询全部数据。</t>
        </r>
      </text>
    </comment>
    <comment ref="C3" authorId="0">
      <text>
        <r>
          <rPr>
            <sz val="9"/>
            <color indexed="81"/>
            <rFont val="宋体"/>
            <charset val="134"/>
          </rPr>
          <t>可以直接输入货物编号。也可以双击单元格，在弹出窗口中选择。</t>
        </r>
      </text>
    </comment>
  </commentList>
</comments>
</file>

<file path=xl/comments4.xml><?xml version="1.0" encoding="utf-8"?>
<comments xmlns="http://schemas.openxmlformats.org/spreadsheetml/2006/main">
  <authors>
    <author>diaoxinya</author>
  </authors>
  <commentList>
    <comment ref="B3" authorId="0">
      <text>
        <r>
          <rPr>
            <sz val="9"/>
            <color indexed="81"/>
            <rFont val="宋体"/>
            <charset val="134"/>
          </rPr>
          <t>双击单元格，可以弹出选择窗口。不填写日期为计算全部数据。</t>
        </r>
      </text>
    </comment>
    <comment ref="D3" authorId="0">
      <text>
        <r>
          <rPr>
            <sz val="9"/>
            <color indexed="81"/>
            <rFont val="宋体"/>
            <charset val="134"/>
          </rPr>
          <t>双击单元格，可以弹出选择窗口。不填写日期为计算全部。</t>
        </r>
      </text>
    </comment>
  </commentList>
</comments>
</file>

<file path=xl/comments5.xml><?xml version="1.0" encoding="utf-8"?>
<comments xmlns="http://schemas.openxmlformats.org/spreadsheetml/2006/main">
  <authors>
    <author>diaoxinya</author>
  </authors>
  <commentList>
    <comment ref="B3" authorId="0">
      <text>
        <r>
          <rPr>
            <sz val="9"/>
            <color indexed="81"/>
            <rFont val="宋体"/>
            <charset val="134"/>
          </rPr>
          <t>可以直接输入货物编号。也可以双击单元格，在弹出窗口中选择。</t>
        </r>
      </text>
    </comment>
    <comment ref="C3" authorId="0">
      <text>
        <r>
          <rPr>
            <sz val="9"/>
            <color indexed="81"/>
            <rFont val="宋体"/>
            <charset val="134"/>
          </rPr>
          <t>双击单元格，可以弹出选择窗口。不填写日期为查询全部数据。</t>
        </r>
      </text>
    </comment>
    <comment ref="D3" authorId="0">
      <text>
        <r>
          <rPr>
            <sz val="9"/>
            <color indexed="81"/>
            <rFont val="宋体"/>
            <charset val="134"/>
          </rPr>
          <t>双击单元格，可以弹出选择窗口。不填写日期为查询全部数据。</t>
        </r>
      </text>
    </comment>
  </commentList>
</comments>
</file>

<file path=xl/comments6.xml><?xml version="1.0" encoding="utf-8"?>
<comments xmlns="http://schemas.openxmlformats.org/spreadsheetml/2006/main">
  <authors>
    <author>diaoxinya</author>
  </authors>
  <commentList>
    <comment ref="A3" authorId="0">
      <text>
        <r>
          <rPr>
            <sz val="9"/>
            <color indexed="81"/>
            <rFont val="宋体"/>
            <charset val="134"/>
          </rPr>
          <t>可以直接输入货物编号。也可以双击单元格，在弹出窗口中选择。</t>
        </r>
      </text>
    </comment>
    <comment ref="B3" authorId="0">
      <text>
        <r>
          <rPr>
            <sz val="9"/>
            <color indexed="81"/>
            <rFont val="宋体"/>
            <charset val="134"/>
          </rPr>
          <t>可以直接输入供领单位。也可以双击单元格，在弹出窗口中选择。</t>
        </r>
      </text>
    </comment>
    <comment ref="D3" authorId="0">
      <text>
        <r>
          <rPr>
            <sz val="9"/>
            <color indexed="81"/>
            <rFont val="宋体"/>
            <charset val="134"/>
          </rPr>
          <t>双击单元格，可以弹出选择窗口。不填写日期为查询全部数据。</t>
        </r>
      </text>
    </comment>
    <comment ref="F3" authorId="0">
      <text>
        <r>
          <rPr>
            <sz val="9"/>
            <color indexed="81"/>
            <rFont val="宋体"/>
            <charset val="134"/>
          </rPr>
          <t>双击单元格，可以弹出选择窗口。不填写日期为查询全部数据。</t>
        </r>
      </text>
    </comment>
    <comment ref="H3" authorId="0">
      <text>
        <r>
          <rPr>
            <sz val="9"/>
            <color indexed="81"/>
            <rFont val="宋体"/>
            <charset val="134"/>
          </rPr>
          <t>可以直接输入货物分类。也可以双击单元格，在弹出窗口中选择。</t>
        </r>
      </text>
    </comment>
    <comment ref="I3" authorId="0">
      <text>
        <r>
          <rPr>
            <sz val="9"/>
            <color indexed="81"/>
            <rFont val="宋体"/>
            <charset val="134"/>
          </rPr>
          <t>可以直接输入出入类别。也可以双击单元格，在弹出窗口中选择。</t>
        </r>
      </text>
    </comment>
    <comment ref="J3" authorId="0">
      <text>
        <r>
          <rPr>
            <sz val="9"/>
            <color indexed="81"/>
            <rFont val="宋体"/>
            <charset val="134"/>
          </rPr>
          <t>请在下拉列表里选择单据类型</t>
        </r>
      </text>
    </comment>
    <comment ref="K3" authorId="0">
      <text>
        <r>
          <rPr>
            <sz val="9"/>
            <color indexed="81"/>
            <rFont val="宋体"/>
            <charset val="134"/>
          </rPr>
          <t>可以直接输入供领人。也可以双击单元格，在弹出窗口中选择。</t>
        </r>
      </text>
    </comment>
    <comment ref="L3" authorId="0">
      <text>
        <r>
          <rPr>
            <sz val="9"/>
            <color indexed="81"/>
            <rFont val="宋体"/>
            <charset val="134"/>
          </rPr>
          <t>可以直接输入经办人。也可以双击单元格，在弹出窗口中选择。</t>
        </r>
      </text>
    </comment>
  </commentList>
</comments>
</file>

<file path=xl/comments7.xml><?xml version="1.0" encoding="utf-8"?>
<comments xmlns="http://schemas.openxmlformats.org/spreadsheetml/2006/main">
  <authors>
    <author>diaoxinya</author>
  </authors>
  <commentList>
    <comment ref="A4" authorId="0">
      <text>
        <r>
          <rPr>
            <sz val="9"/>
            <color indexed="81"/>
            <rFont val="宋体"/>
            <charset val="134"/>
          </rPr>
          <t xml:space="preserve">编号必须有、不能重复、确定后不可修改。
</t>
        </r>
      </text>
    </comment>
    <comment ref="E4" authorId="0">
      <text>
        <r>
          <rPr>
            <sz val="9"/>
            <color indexed="81"/>
            <rFont val="宋体"/>
            <charset val="134"/>
          </rPr>
          <t xml:space="preserve">做为入库单的默认价格，可有可无。
</t>
        </r>
      </text>
    </comment>
    <comment ref="F4" authorId="0">
      <text>
        <r>
          <rPr>
            <sz val="9"/>
            <color indexed="81"/>
            <rFont val="宋体"/>
            <charset val="134"/>
          </rPr>
          <t>做为出库单的默认价格，可有可无。</t>
        </r>
      </text>
    </comment>
    <comment ref="M4" authorId="0">
      <text>
        <r>
          <rPr>
            <sz val="9"/>
            <color indexed="81"/>
            <rFont val="宋体"/>
            <charset val="134"/>
          </rPr>
          <t>点击“检查编号”按钮后，如果编号有重复、空白等，会在此列提示</t>
        </r>
      </text>
    </comment>
  </commentList>
</comments>
</file>

<file path=xl/comments8.xml><?xml version="1.0" encoding="utf-8"?>
<comments xmlns="http://schemas.openxmlformats.org/spreadsheetml/2006/main">
  <authors>
    <author>diaoxinya</author>
  </authors>
  <commentList>
    <comment ref="A3" authorId="0">
      <text>
        <r>
          <rPr>
            <sz val="9"/>
            <color indexed="81"/>
            <rFont val="宋体"/>
            <charset val="134"/>
          </rPr>
          <t>请在下拉列表里选择单据类型</t>
        </r>
      </text>
    </comment>
    <comment ref="B3" authorId="0">
      <text>
        <r>
          <rPr>
            <sz val="9"/>
            <color indexed="81"/>
            <rFont val="宋体"/>
            <charset val="134"/>
          </rPr>
          <t>可以直接输入供领单位。也可以双击单元格，在弹出窗口中选择。</t>
        </r>
      </text>
    </comment>
    <comment ref="E3" authorId="0">
      <text>
        <r>
          <rPr>
            <sz val="9"/>
            <color indexed="81"/>
            <rFont val="宋体"/>
            <charset val="134"/>
          </rPr>
          <t>可以直接输入货物分类。也可以双击单元格，在弹出窗口中选择。</t>
        </r>
      </text>
    </comment>
    <comment ref="F3" authorId="0">
      <text>
        <r>
          <rPr>
            <sz val="9"/>
            <color indexed="81"/>
            <rFont val="宋体"/>
            <charset val="134"/>
          </rPr>
          <t>双击单元格，可以弹出选择窗口。不填写日期为查询全部数据。</t>
        </r>
      </text>
    </comment>
    <comment ref="G3" authorId="0">
      <text>
        <r>
          <rPr>
            <sz val="9"/>
            <color indexed="81"/>
            <rFont val="宋体"/>
            <charset val="134"/>
          </rPr>
          <t>双击单元格，可以弹出选择窗口。不填写日期为查询全部数据。</t>
        </r>
      </text>
    </comment>
    <comment ref="H3" authorId="0">
      <text>
        <r>
          <rPr>
            <sz val="9"/>
            <color indexed="81"/>
            <rFont val="宋体"/>
            <charset val="134"/>
          </rPr>
          <t>可以直接输入供领人。也可以双击单元格，在弹出窗口中选择。</t>
        </r>
      </text>
    </comment>
    <comment ref="I3" authorId="0">
      <text>
        <r>
          <rPr>
            <sz val="9"/>
            <color indexed="81"/>
            <rFont val="宋体"/>
            <charset val="134"/>
          </rPr>
          <t>可以直接输入经办人。也可以双击单元格，在弹出窗口中选择。</t>
        </r>
      </text>
    </comment>
    <comment ref="J3" authorId="0">
      <text>
        <r>
          <rPr>
            <sz val="9"/>
            <color indexed="81"/>
            <rFont val="宋体"/>
            <charset val="134"/>
          </rPr>
          <t xml:space="preserve">可以直接输入出入类别。也可以双击单元格，在弹出窗口中选择。
</t>
        </r>
      </text>
    </comment>
  </commentList>
</comments>
</file>

<file path=xl/comments9.xml><?xml version="1.0" encoding="utf-8"?>
<comments xmlns="http://schemas.openxmlformats.org/spreadsheetml/2006/main">
  <authors>
    <author>diaoxinya</author>
  </authors>
  <commentList>
    <comment ref="A3" authorId="0">
      <text>
        <r>
          <rPr>
            <sz val="9"/>
            <color indexed="81"/>
            <rFont val="宋体"/>
            <charset val="134"/>
          </rPr>
          <t>请在下拉列表里选择单据类型</t>
        </r>
      </text>
    </comment>
    <comment ref="B3" authorId="0">
      <text>
        <r>
          <rPr>
            <sz val="9"/>
            <color indexed="81"/>
            <rFont val="宋体"/>
            <charset val="134"/>
          </rPr>
          <t>可以直接输入单据编号。也可以双击单元格，在弹出窗口中选择。</t>
        </r>
      </text>
    </comment>
    <comment ref="C3" authorId="0">
      <text>
        <r>
          <rPr>
            <sz val="9"/>
            <color indexed="81"/>
            <rFont val="宋体"/>
            <charset val="134"/>
          </rPr>
          <t>双击单元格，可以弹出选择窗口。不填写日期为查询全部数据。</t>
        </r>
      </text>
    </comment>
    <comment ref="D3" authorId="0">
      <text>
        <r>
          <rPr>
            <sz val="9"/>
            <color indexed="81"/>
            <rFont val="宋体"/>
            <charset val="134"/>
          </rPr>
          <t>双击单元格，可以弹出选择窗口。不填写日期为查询全部数据。</t>
        </r>
      </text>
    </comment>
    <comment ref="E3" authorId="0">
      <text>
        <r>
          <rPr>
            <sz val="9"/>
            <color indexed="81"/>
            <rFont val="宋体"/>
            <charset val="134"/>
          </rPr>
          <t>可以直接输入供领单位。也可以双击单元格，在弹出窗口中选择。</t>
        </r>
      </text>
    </comment>
    <comment ref="F3" authorId="0">
      <text>
        <r>
          <rPr>
            <sz val="9"/>
            <color indexed="81"/>
            <rFont val="宋体"/>
            <charset val="134"/>
          </rPr>
          <t>可以直接输入供领人。也可以双击单元格，在弹出窗口中选择。</t>
        </r>
      </text>
    </comment>
    <comment ref="G3" authorId="0">
      <text>
        <r>
          <rPr>
            <sz val="9"/>
            <color indexed="81"/>
            <rFont val="宋体"/>
            <charset val="134"/>
          </rPr>
          <t>可以直接输入经办人。也可以双击单元格，在弹出窗口中选择。</t>
        </r>
      </text>
    </comment>
    <comment ref="H3" authorId="0">
      <text>
        <r>
          <rPr>
            <sz val="9"/>
            <color indexed="81"/>
            <rFont val="宋体"/>
            <charset val="134"/>
          </rPr>
          <t xml:space="preserve">可以直接输入出入类别。也可以双击单元格，在弹出窗口中选择。
</t>
        </r>
      </text>
    </comment>
  </commentList>
</comments>
</file>

<file path=xl/sharedStrings.xml><?xml version="1.0" encoding="utf-8"?>
<sst xmlns="http://schemas.openxmlformats.org/spreadsheetml/2006/main" count="534" uniqueCount="250">
  <si>
    <t>单位</t>
    <phoneticPr fontId="4" type="noConversion"/>
  </si>
  <si>
    <t>序号</t>
    <phoneticPr fontId="4" type="noConversion"/>
  </si>
  <si>
    <t>单价</t>
    <phoneticPr fontId="4" type="noConversion"/>
  </si>
  <si>
    <t>金额</t>
    <phoneticPr fontId="4" type="noConversion"/>
  </si>
  <si>
    <t>编号</t>
    <phoneticPr fontId="4" type="noConversion"/>
  </si>
  <si>
    <t>编号</t>
  </si>
  <si>
    <t>单位</t>
  </si>
  <si>
    <t>数量</t>
    <phoneticPr fontId="4" type="noConversion"/>
  </si>
  <si>
    <t>编号</t>
    <phoneticPr fontId="2" type="noConversion"/>
  </si>
  <si>
    <t>单位</t>
    <phoneticPr fontId="2" type="noConversion"/>
  </si>
  <si>
    <t>单价</t>
    <phoneticPr fontId="2" type="noConversion"/>
  </si>
  <si>
    <t>数量</t>
    <phoneticPr fontId="2" type="noConversion"/>
  </si>
  <si>
    <t>金额</t>
    <phoneticPr fontId="2" type="noConversion"/>
  </si>
  <si>
    <t>出入类别</t>
    <phoneticPr fontId="2" type="noConversion"/>
  </si>
  <si>
    <t>日期</t>
    <phoneticPr fontId="2" type="noConversion"/>
  </si>
  <si>
    <t>供领单位</t>
    <phoneticPr fontId="2" type="noConversion"/>
  </si>
  <si>
    <t>供领人</t>
    <phoneticPr fontId="2" type="noConversion"/>
  </si>
  <si>
    <t>凭证单号</t>
    <phoneticPr fontId="2" type="noConversion"/>
  </si>
  <si>
    <t>期初结存</t>
    <phoneticPr fontId="2" type="noConversion"/>
  </si>
  <si>
    <t>本期收入</t>
    <phoneticPr fontId="2" type="noConversion"/>
  </si>
  <si>
    <t>本期发出</t>
    <phoneticPr fontId="2" type="noConversion"/>
  </si>
  <si>
    <t>期末结存</t>
    <phoneticPr fontId="2" type="noConversion"/>
  </si>
  <si>
    <t>经办人</t>
    <phoneticPr fontId="2" type="noConversion"/>
  </si>
  <si>
    <t>开始日期</t>
    <phoneticPr fontId="2" type="noConversion"/>
  </si>
  <si>
    <t>结束日期</t>
    <phoneticPr fontId="2" type="noConversion"/>
  </si>
  <si>
    <t>单价</t>
  </si>
  <si>
    <t>数量</t>
  </si>
  <si>
    <t>金额</t>
  </si>
  <si>
    <t>出入类别</t>
  </si>
  <si>
    <t>供领单位</t>
  </si>
  <si>
    <t>供领人</t>
  </si>
  <si>
    <t>经办人</t>
  </si>
  <si>
    <t>凭证单号</t>
  </si>
  <si>
    <t>供货单位</t>
    <phoneticPr fontId="2" type="noConversion"/>
  </si>
  <si>
    <t>领用单位</t>
    <phoneticPr fontId="2" type="noConversion"/>
  </si>
  <si>
    <t>供货人</t>
    <phoneticPr fontId="2" type="noConversion"/>
  </si>
  <si>
    <t>领料人</t>
    <phoneticPr fontId="2" type="noConversion"/>
  </si>
  <si>
    <t>入库类别</t>
    <phoneticPr fontId="2" type="noConversion"/>
  </si>
  <si>
    <t>出库类别</t>
    <phoneticPr fontId="2" type="noConversion"/>
  </si>
  <si>
    <t>经办人：</t>
    <phoneticPr fontId="4" type="noConversion"/>
  </si>
  <si>
    <t>功能导航</t>
    <phoneticPr fontId="2" type="noConversion"/>
  </si>
  <si>
    <t/>
  </si>
  <si>
    <t>备注</t>
    <phoneticPr fontId="4" type="noConversion"/>
  </si>
  <si>
    <t>货物名称</t>
    <phoneticPr fontId="4" type="noConversion"/>
  </si>
  <si>
    <t>规格型号</t>
    <phoneticPr fontId="4" type="noConversion"/>
  </si>
  <si>
    <t>个</t>
  </si>
  <si>
    <t>套</t>
  </si>
  <si>
    <t>货物名称</t>
    <phoneticPr fontId="2" type="noConversion"/>
  </si>
  <si>
    <t>规格型号</t>
    <phoneticPr fontId="2" type="noConversion"/>
  </si>
  <si>
    <t>货物名称</t>
    <phoneticPr fontId="2" type="noConversion"/>
  </si>
  <si>
    <t>规格型号</t>
    <phoneticPr fontId="2" type="noConversion"/>
  </si>
  <si>
    <t>货物名称</t>
    <phoneticPr fontId="2" type="noConversion"/>
  </si>
  <si>
    <t>规格型号</t>
    <phoneticPr fontId="2" type="noConversion"/>
  </si>
  <si>
    <t>备注</t>
    <phoneticPr fontId="2" type="noConversion"/>
  </si>
  <si>
    <t>货物名称</t>
    <phoneticPr fontId="2" type="noConversion"/>
  </si>
  <si>
    <t>规格型号</t>
    <phoneticPr fontId="2" type="noConversion"/>
  </si>
  <si>
    <t>备注</t>
    <phoneticPr fontId="2" type="noConversion"/>
  </si>
  <si>
    <t>最低库存</t>
    <phoneticPr fontId="2" type="noConversion"/>
  </si>
  <si>
    <t>编号</t>
    <phoneticPr fontId="2" type="noConversion"/>
  </si>
  <si>
    <t>货物名称</t>
    <phoneticPr fontId="2" type="noConversion"/>
  </si>
  <si>
    <t>规格型号</t>
    <phoneticPr fontId="2" type="noConversion"/>
  </si>
  <si>
    <t>单位</t>
    <phoneticPr fontId="2" type="noConversion"/>
  </si>
  <si>
    <t>最低库存</t>
    <phoneticPr fontId="2" type="noConversion"/>
  </si>
  <si>
    <t>最高库存</t>
    <phoneticPr fontId="2" type="noConversion"/>
  </si>
  <si>
    <t>存量提示</t>
    <phoneticPr fontId="2" type="noConversion"/>
  </si>
  <si>
    <t>开始日期</t>
    <phoneticPr fontId="2" type="noConversion"/>
  </si>
  <si>
    <t>结束日期</t>
    <phoneticPr fontId="2" type="noConversion"/>
  </si>
  <si>
    <t>出入类别</t>
    <phoneticPr fontId="2" type="noConversion"/>
  </si>
  <si>
    <t>经办人</t>
    <phoneticPr fontId="2" type="noConversion"/>
  </si>
  <si>
    <t>起始日期:</t>
    <phoneticPr fontId="2" type="noConversion"/>
  </si>
  <si>
    <t>分类</t>
    <phoneticPr fontId="2" type="noConversion"/>
  </si>
  <si>
    <t>分类</t>
    <phoneticPr fontId="4" type="noConversion"/>
  </si>
  <si>
    <t>分类</t>
    <phoneticPr fontId="2" type="noConversion"/>
  </si>
  <si>
    <t>分类</t>
    <phoneticPr fontId="2" type="noConversion"/>
  </si>
  <si>
    <t>均价</t>
    <phoneticPr fontId="2" type="noConversion"/>
  </si>
  <si>
    <t>成本</t>
    <phoneticPr fontId="2" type="noConversion"/>
  </si>
  <si>
    <t>金额</t>
    <phoneticPr fontId="2" type="noConversion"/>
  </si>
  <si>
    <t>利润</t>
    <phoneticPr fontId="2" type="noConversion"/>
  </si>
  <si>
    <t>货物分类</t>
    <phoneticPr fontId="2" type="noConversion"/>
  </si>
  <si>
    <t>数量</t>
    <phoneticPr fontId="2" type="noConversion"/>
  </si>
  <si>
    <t>金额</t>
    <phoneticPr fontId="2" type="noConversion"/>
  </si>
  <si>
    <t>最高库存</t>
    <phoneticPr fontId="2" type="noConversion"/>
  </si>
  <si>
    <t>金额(大写):</t>
    <phoneticPr fontId="4" type="noConversion"/>
  </si>
  <si>
    <t>金额(小写):</t>
    <phoneticPr fontId="4" type="noConversion"/>
  </si>
  <si>
    <t>领料出库</t>
  </si>
  <si>
    <t>生产部</t>
  </si>
  <si>
    <t>小红</t>
  </si>
  <si>
    <t>张三</t>
  </si>
  <si>
    <t>陈明</t>
  </si>
  <si>
    <t>采购入库</t>
  </si>
  <si>
    <t>销售出库</t>
  </si>
  <si>
    <t>采购部</t>
  </si>
  <si>
    <t>示例客户2</t>
  </si>
  <si>
    <t>小明</t>
  </si>
  <si>
    <t>李四</t>
  </si>
  <si>
    <t>刘光</t>
  </si>
  <si>
    <t>生产入库</t>
  </si>
  <si>
    <t>工程部</t>
  </si>
  <si>
    <t>示例客户3</t>
  </si>
  <si>
    <t>小光</t>
  </si>
  <si>
    <t>王五</t>
  </si>
  <si>
    <t>任雪</t>
  </si>
  <si>
    <t>销售退货</t>
  </si>
  <si>
    <t>报废出库</t>
  </si>
  <si>
    <t>片</t>
  </si>
  <si>
    <t>示例供应商1</t>
  </si>
  <si>
    <t>销售部</t>
  </si>
  <si>
    <t>小丽</t>
  </si>
  <si>
    <t>赵六</t>
  </si>
  <si>
    <t>李亮</t>
  </si>
  <si>
    <t>盘盈入库</t>
  </si>
  <si>
    <t>采购退货</t>
  </si>
  <si>
    <t>示例供应商2</t>
  </si>
  <si>
    <t>盘亏出库</t>
  </si>
  <si>
    <t>示例供应商3</t>
  </si>
  <si>
    <t>后勤部</t>
  </si>
  <si>
    <t>1003</t>
    <phoneticPr fontId="2" type="noConversion"/>
  </si>
  <si>
    <t>供货单位：</t>
    <phoneticPr fontId="4" type="noConversion"/>
  </si>
  <si>
    <t>入 库 单</t>
    <phoneticPr fontId="2" type="noConversion"/>
  </si>
  <si>
    <t>入库单号：</t>
    <phoneticPr fontId="4" type="noConversion"/>
  </si>
  <si>
    <t>入库日期：</t>
    <phoneticPr fontId="4" type="noConversion"/>
  </si>
  <si>
    <t>入库类别：</t>
    <phoneticPr fontId="4" type="noConversion"/>
  </si>
  <si>
    <t>出 库 单</t>
    <phoneticPr fontId="2" type="noConversion"/>
  </si>
  <si>
    <t>出库类别：</t>
    <phoneticPr fontId="4" type="noConversion"/>
  </si>
  <si>
    <t>出库单号：</t>
    <phoneticPr fontId="4" type="noConversion"/>
  </si>
  <si>
    <t>出库日期：</t>
    <phoneticPr fontId="4" type="noConversion"/>
  </si>
  <si>
    <t>领料人：</t>
    <phoneticPr fontId="4" type="noConversion"/>
  </si>
  <si>
    <t>领用单位：</t>
    <phoneticPr fontId="4" type="noConversion"/>
  </si>
  <si>
    <t>入库价(参考)</t>
    <phoneticPr fontId="2" type="noConversion"/>
  </si>
  <si>
    <t>出库价(参考)</t>
    <phoneticPr fontId="2" type="noConversion"/>
  </si>
  <si>
    <t>1006</t>
    <phoneticPr fontId="2" type="noConversion"/>
  </si>
  <si>
    <t>1</t>
    <phoneticPr fontId="2" type="noConversion"/>
  </si>
  <si>
    <t>期初金额</t>
    <phoneticPr fontId="2" type="noConversion"/>
  </si>
  <si>
    <r>
      <t>1</t>
    </r>
    <r>
      <rPr>
        <sz val="10"/>
        <rFont val="宋体"/>
        <charset val="134"/>
      </rPr>
      <t>001</t>
    </r>
    <phoneticPr fontId="2" type="noConversion"/>
  </si>
  <si>
    <t>备注信息</t>
    <phoneticPr fontId="2" type="noConversion"/>
  </si>
  <si>
    <t>日期</t>
    <phoneticPr fontId="2" type="noConversion"/>
  </si>
  <si>
    <t>收入</t>
    <phoneticPr fontId="2" type="noConversion"/>
  </si>
  <si>
    <t>发出</t>
    <phoneticPr fontId="2" type="noConversion"/>
  </si>
  <si>
    <t>结存</t>
    <phoneticPr fontId="2" type="noConversion"/>
  </si>
  <si>
    <t>数量</t>
    <phoneticPr fontId="2" type="noConversion"/>
  </si>
  <si>
    <t>单价</t>
    <phoneticPr fontId="2" type="noConversion"/>
  </si>
  <si>
    <t>金额</t>
    <phoneticPr fontId="2" type="noConversion"/>
  </si>
  <si>
    <t>均价</t>
    <phoneticPr fontId="2" type="noConversion"/>
  </si>
  <si>
    <t>成本</t>
    <phoneticPr fontId="2" type="noConversion"/>
  </si>
  <si>
    <t>货物编号</t>
    <phoneticPr fontId="2" type="noConversion"/>
  </si>
  <si>
    <t>货物名称</t>
    <phoneticPr fontId="2" type="noConversion"/>
  </si>
  <si>
    <t>规格型号</t>
    <phoneticPr fontId="2" type="noConversion"/>
  </si>
  <si>
    <t>备注信息</t>
    <phoneticPr fontId="2" type="noConversion"/>
  </si>
  <si>
    <t>分类</t>
    <phoneticPr fontId="2" type="noConversion"/>
  </si>
  <si>
    <t>单位</t>
    <phoneticPr fontId="2" type="noConversion"/>
  </si>
  <si>
    <t>结束日期:</t>
    <phoneticPr fontId="2" type="noConversion"/>
  </si>
  <si>
    <t>当前数量</t>
    <phoneticPr fontId="2" type="noConversion"/>
  </si>
  <si>
    <t>库存金额</t>
    <phoneticPr fontId="2" type="noConversion"/>
  </si>
  <si>
    <t>检查提示</t>
    <phoneticPr fontId="2" type="noConversion"/>
  </si>
  <si>
    <t>DN015</t>
    <phoneticPr fontId="2" type="noConversion"/>
  </si>
  <si>
    <t>3</t>
    <phoneticPr fontId="2" type="noConversion"/>
  </si>
  <si>
    <t>10</t>
    <phoneticPr fontId="2" type="noConversion"/>
  </si>
  <si>
    <t>编号</t>
    <phoneticPr fontId="2" type="noConversion"/>
  </si>
  <si>
    <t>库管易Excel库存管理系统</t>
    <phoneticPr fontId="2" type="noConversion"/>
  </si>
  <si>
    <t>是否查询</t>
    <phoneticPr fontId="2" type="noConversion"/>
  </si>
  <si>
    <t>单号</t>
    <phoneticPr fontId="2" type="noConversion"/>
  </si>
  <si>
    <t>查询失败</t>
    <phoneticPr fontId="2" type="noConversion"/>
  </si>
  <si>
    <t>期初
库存</t>
    <phoneticPr fontId="2" type="noConversion"/>
  </si>
  <si>
    <t>货物分类</t>
    <phoneticPr fontId="2" type="noConversion"/>
  </si>
  <si>
    <t>编号</t>
    <phoneticPr fontId="4" type="noConversion"/>
  </si>
  <si>
    <t>4AFF7E0B20C78CA2AB598EFC33F4C708</t>
    <phoneticPr fontId="2" type="noConversion"/>
  </si>
  <si>
    <t>高级管理员</t>
    <phoneticPr fontId="2" type="noConversion"/>
  </si>
  <si>
    <t>单据类型</t>
    <phoneticPr fontId="2" type="noConversion"/>
  </si>
  <si>
    <t>单据类型</t>
    <phoneticPr fontId="2" type="noConversion"/>
  </si>
  <si>
    <t>示例供应商4</t>
  </si>
  <si>
    <t>示例供应商5</t>
  </si>
  <si>
    <t>示例客户4</t>
    <phoneticPr fontId="2" type="noConversion"/>
  </si>
  <si>
    <t>示例客户5</t>
    <phoneticPr fontId="2" type="noConversion"/>
  </si>
  <si>
    <t>分类1</t>
    <phoneticPr fontId="2" type="noConversion"/>
  </si>
  <si>
    <t>分类2</t>
    <phoneticPr fontId="2" type="noConversion"/>
  </si>
  <si>
    <t>分类3</t>
    <phoneticPr fontId="2" type="noConversion"/>
  </si>
  <si>
    <t>示例客户1</t>
    <phoneticPr fontId="2" type="noConversion"/>
  </si>
  <si>
    <t>单据类型</t>
    <phoneticPr fontId="2" type="noConversion"/>
  </si>
  <si>
    <t>凭证单号</t>
    <phoneticPr fontId="2" type="noConversion"/>
  </si>
  <si>
    <t>出入日期</t>
    <phoneticPr fontId="2" type="noConversion"/>
  </si>
  <si>
    <t>出入类别</t>
    <phoneticPr fontId="2" type="noConversion"/>
  </si>
  <si>
    <t>供领单位</t>
    <phoneticPr fontId="2" type="noConversion"/>
  </si>
  <si>
    <t>供领人</t>
    <phoneticPr fontId="2" type="noConversion"/>
  </si>
  <si>
    <t>经办人</t>
    <phoneticPr fontId="2" type="noConversion"/>
  </si>
  <si>
    <t>单据金额</t>
    <phoneticPr fontId="2" type="noConversion"/>
  </si>
  <si>
    <t>操作提示</t>
    <phoneticPr fontId="2" type="noConversion"/>
  </si>
  <si>
    <t>结束日期</t>
    <phoneticPr fontId="2" type="noConversion"/>
  </si>
  <si>
    <t>编号</t>
    <phoneticPr fontId="2" type="noConversion"/>
  </si>
  <si>
    <t>货物分类</t>
    <phoneticPr fontId="2" type="noConversion"/>
  </si>
  <si>
    <t>供领单位</t>
    <phoneticPr fontId="2" type="noConversion"/>
  </si>
  <si>
    <t>开始日期</t>
    <phoneticPr fontId="2" type="noConversion"/>
  </si>
  <si>
    <t>结束日期</t>
    <phoneticPr fontId="2" type="noConversion"/>
  </si>
  <si>
    <t>数量</t>
    <phoneticPr fontId="2" type="noConversion"/>
  </si>
  <si>
    <t>均价</t>
    <phoneticPr fontId="2" type="noConversion"/>
  </si>
  <si>
    <t>货物名称</t>
    <phoneticPr fontId="2" type="noConversion"/>
  </si>
  <si>
    <t>规格型号</t>
    <phoneticPr fontId="2" type="noConversion"/>
  </si>
  <si>
    <t>货物分类</t>
    <phoneticPr fontId="2" type="noConversion"/>
  </si>
  <si>
    <t>单位</t>
    <phoneticPr fontId="2" type="noConversion"/>
  </si>
  <si>
    <t>入库统计</t>
    <phoneticPr fontId="2" type="noConversion"/>
  </si>
  <si>
    <t>出库统计</t>
    <phoneticPr fontId="2" type="noConversion"/>
  </si>
  <si>
    <t>入库</t>
    <phoneticPr fontId="2" type="noConversion"/>
  </si>
  <si>
    <t>出库</t>
    <phoneticPr fontId="2" type="noConversion"/>
  </si>
  <si>
    <t>金额</t>
    <phoneticPr fontId="2" type="noConversion"/>
  </si>
  <si>
    <t>供领单位</t>
    <phoneticPr fontId="2" type="noConversion"/>
  </si>
  <si>
    <t>货物分类</t>
    <phoneticPr fontId="2" type="noConversion"/>
  </si>
  <si>
    <t>供领人</t>
    <phoneticPr fontId="2" type="noConversion"/>
  </si>
  <si>
    <t>单据类型</t>
    <phoneticPr fontId="2" type="noConversion"/>
  </si>
  <si>
    <t>货物编号</t>
    <phoneticPr fontId="2" type="noConversion"/>
  </si>
  <si>
    <t>进出日期</t>
    <phoneticPr fontId="2" type="noConversion"/>
  </si>
  <si>
    <t>进出日期</t>
    <phoneticPr fontId="2" type="noConversion"/>
  </si>
  <si>
    <t>分类1</t>
    <phoneticPr fontId="2" type="noConversion"/>
  </si>
  <si>
    <t>分类3</t>
    <phoneticPr fontId="2" type="noConversion"/>
  </si>
  <si>
    <t>示例货物2</t>
    <phoneticPr fontId="2" type="noConversion"/>
  </si>
  <si>
    <t>1001</t>
    <phoneticPr fontId="2" type="noConversion"/>
  </si>
  <si>
    <t>示例货物1</t>
    <phoneticPr fontId="2" type="noConversion"/>
  </si>
  <si>
    <t>示例货物6</t>
    <phoneticPr fontId="2" type="noConversion"/>
  </si>
  <si>
    <t>12*50</t>
    <phoneticPr fontId="2" type="noConversion"/>
  </si>
  <si>
    <t>DN015</t>
    <phoneticPr fontId="2" type="noConversion"/>
  </si>
  <si>
    <t>DN020</t>
    <phoneticPr fontId="2" type="noConversion"/>
  </si>
  <si>
    <t>片</t>
    <phoneticPr fontId="2" type="noConversion"/>
  </si>
  <si>
    <t>54*3</t>
    <phoneticPr fontId="2" type="noConversion"/>
  </si>
  <si>
    <t>示例货物5</t>
    <phoneticPr fontId="2" type="noConversion"/>
  </si>
  <si>
    <t>示例货物4</t>
    <phoneticPr fontId="2" type="noConversion"/>
  </si>
  <si>
    <t>示例货物3</t>
    <phoneticPr fontId="2" type="noConversion"/>
  </si>
  <si>
    <t>admin</t>
    <phoneticPr fontId="2" type="noConversion"/>
  </si>
  <si>
    <t>供货人：</t>
    <phoneticPr fontId="4" type="noConversion"/>
  </si>
  <si>
    <t>1</t>
    <phoneticPr fontId="2" type="noConversion"/>
  </si>
  <si>
    <t>A类货物</t>
    <phoneticPr fontId="2" type="noConversion"/>
  </si>
  <si>
    <t>B类货物</t>
    <phoneticPr fontId="2" type="noConversion"/>
  </si>
  <si>
    <t>出入摘要</t>
    <phoneticPr fontId="2" type="noConversion"/>
  </si>
  <si>
    <t>金额</t>
    <phoneticPr fontId="2" type="noConversion"/>
  </si>
  <si>
    <t>成本均价</t>
    <phoneticPr fontId="2" type="noConversion"/>
  </si>
  <si>
    <t>成本金额</t>
    <phoneticPr fontId="2" type="noConversion"/>
  </si>
  <si>
    <t>库管易</t>
    <phoneticPr fontId="2" type="noConversion"/>
  </si>
  <si>
    <t>库管易</t>
    <phoneticPr fontId="2" type="noConversion"/>
  </si>
  <si>
    <t>中国XXX股份集团有限公司</t>
    <phoneticPr fontId="2" type="noConversion"/>
  </si>
  <si>
    <t>RK</t>
    <phoneticPr fontId="2" type="noConversion"/>
  </si>
  <si>
    <t>CK</t>
    <phoneticPr fontId="2" type="noConversion"/>
  </si>
  <si>
    <t>admin</t>
    <phoneticPr fontId="2" type="noConversion"/>
  </si>
  <si>
    <t>1</t>
    <phoneticPr fontId="2" type="noConversion"/>
  </si>
  <si>
    <t>0</t>
    <phoneticPr fontId="2" type="noConversion"/>
  </si>
  <si>
    <t>1</t>
    <phoneticPr fontId="2" type="noConversion"/>
  </si>
  <si>
    <t>2</t>
    <phoneticPr fontId="2" type="noConversion"/>
  </si>
  <si>
    <t>30</t>
    <phoneticPr fontId="2" type="noConversion"/>
  </si>
  <si>
    <t>2016-09-22</t>
    <phoneticPr fontId="2" type="noConversion"/>
  </si>
  <si>
    <t>001</t>
    <phoneticPr fontId="2" type="noConversion"/>
  </si>
  <si>
    <t>160922</t>
    <phoneticPr fontId="2" type="noConversion"/>
  </si>
  <si>
    <t>RK160922001</t>
    <phoneticPr fontId="2" type="noConversion"/>
  </si>
  <si>
    <t>2016-09-22</t>
    <phoneticPr fontId="18" type="noConversion"/>
  </si>
  <si>
    <t>CK160922001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</si>
</sst>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37">
    <font>
      <sz val="12"/>
      <name val="宋体"/>
      <charset val="134"/>
    </font>
    <font>
      <sz val="12"/>
      <name val="宋体"/>
      <charset val="134"/>
    </font>
    <font>
      <sz val="9"/>
      <name val="宋体"/>
      <charset val="134"/>
    </font>
    <font>
      <u/>
      <sz val="12"/>
      <color indexed="12"/>
      <name val="宋体"/>
      <charset val="134"/>
    </font>
    <font>
      <sz val="9"/>
      <name val="MingLiU"/>
      <family val="3"/>
    </font>
    <font>
      <sz val="9"/>
      <color indexed="9"/>
      <name val="宋体"/>
      <charset val="134"/>
    </font>
    <font>
      <sz val="9"/>
      <color indexed="43"/>
      <name val="宋体"/>
      <charset val="134"/>
    </font>
    <font>
      <sz val="10"/>
      <name val="宋体"/>
      <charset val="134"/>
    </font>
    <font>
      <sz val="11"/>
      <color indexed="9"/>
      <name val="宋体"/>
      <charset val="134"/>
    </font>
    <font>
      <sz val="11"/>
      <color indexed="8"/>
      <name val="宋体"/>
      <charset val="134"/>
    </font>
    <font>
      <sz val="12"/>
      <name val="宋体"/>
      <charset val="134"/>
    </font>
    <font>
      <sz val="11"/>
      <name val="宋体"/>
      <charset val="134"/>
    </font>
    <font>
      <sz val="12"/>
      <color indexed="10"/>
      <name val="宋体"/>
      <charset val="134"/>
    </font>
    <font>
      <sz val="12"/>
      <color indexed="47"/>
      <name val="宋体"/>
      <charset val="134"/>
    </font>
    <font>
      <b/>
      <sz val="11"/>
      <color indexed="12"/>
      <name val="华文行楷"/>
      <charset val="134"/>
    </font>
    <font>
      <sz val="11"/>
      <color indexed="12"/>
      <name val="宋体"/>
      <charset val="134"/>
    </font>
    <font>
      <sz val="14"/>
      <name val="宋体"/>
      <charset val="134"/>
    </font>
    <font>
      <b/>
      <sz val="18"/>
      <name val="宋体"/>
      <charset val="134"/>
    </font>
    <font>
      <sz val="9"/>
      <name val="宋体"/>
      <charset val="134"/>
    </font>
    <font>
      <b/>
      <sz val="18"/>
      <name val="宋体"/>
      <charset val="134"/>
    </font>
    <font>
      <sz val="9"/>
      <name val="宋体"/>
      <charset val="134"/>
    </font>
    <font>
      <sz val="10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12"/>
      <name val="宋体"/>
      <charset val="134"/>
    </font>
    <font>
      <sz val="10"/>
      <name val="宋体"/>
      <charset val="134"/>
    </font>
    <font>
      <sz val="12"/>
      <name val="宋体"/>
      <charset val="134"/>
    </font>
    <font>
      <sz val="11"/>
      <name val="宋体"/>
      <charset val="134"/>
    </font>
    <font>
      <sz val="12"/>
      <name val="宋体"/>
      <charset val="134"/>
    </font>
    <font>
      <sz val="10"/>
      <name val="宋体"/>
      <charset val="134"/>
    </font>
    <font>
      <sz val="10"/>
      <color indexed="10"/>
      <name val="宋体"/>
      <charset val="134"/>
    </font>
    <font>
      <sz val="9"/>
      <color indexed="81"/>
      <name val="宋体"/>
      <charset val="134"/>
    </font>
    <font>
      <sz val="11"/>
      <color indexed="12"/>
      <name val="宋体"/>
      <charset val="134"/>
    </font>
    <font>
      <b/>
      <sz val="26"/>
      <color indexed="9"/>
      <name val="华文楷体"/>
      <charset val="134"/>
    </font>
    <font>
      <sz val="10"/>
      <color indexed="8"/>
      <name val="宋体"/>
      <charset val="134"/>
    </font>
    <font>
      <sz val="10"/>
      <color indexed="62"/>
      <name val="宋体"/>
      <charset val="134"/>
    </font>
    <font>
      <sz val="11"/>
      <color indexed="8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double">
        <color indexed="45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1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1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10"/>
      </bottom>
      <diagonal/>
    </border>
    <border>
      <left/>
      <right/>
      <top style="thin">
        <color indexed="64"/>
      </top>
      <bottom style="thin">
        <color indexed="10"/>
      </bottom>
      <diagonal/>
    </border>
    <border>
      <left/>
      <right/>
      <top style="thin">
        <color indexed="1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10"/>
      </bottom>
      <diagonal/>
    </border>
    <border>
      <left/>
      <right style="thin">
        <color indexed="64"/>
      </right>
      <top style="thin">
        <color indexed="64"/>
      </top>
      <bottom style="thin">
        <color indexed="10"/>
      </bottom>
      <diagonal/>
    </border>
    <border>
      <left style="double">
        <color indexed="10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/>
      <top style="thin">
        <color indexed="10"/>
      </top>
      <bottom style="thin">
        <color indexed="64"/>
      </bottom>
      <diagonal/>
    </border>
    <border>
      <left style="double">
        <color indexed="10"/>
      </left>
      <right style="thin">
        <color indexed="64"/>
      </right>
      <top style="thin">
        <color indexed="10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1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1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10"/>
      </left>
      <right/>
      <top style="thin">
        <color indexed="1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7" fillId="0" borderId="0"/>
  </cellStyleXfs>
  <cellXfs count="198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1" fillId="2" borderId="0" xfId="3" applyFill="1" applyProtection="1">
      <protection locked="0"/>
    </xf>
    <xf numFmtId="0" fontId="1" fillId="0" borderId="0" xfId="3" applyProtection="1">
      <protection locked="0"/>
    </xf>
    <xf numFmtId="0" fontId="1" fillId="0" borderId="0" xfId="3" applyBorder="1" applyProtection="1">
      <protection locked="0"/>
    </xf>
    <xf numFmtId="0" fontId="1" fillId="0" borderId="1" xfId="3" applyBorder="1" applyProtection="1">
      <protection locked="0"/>
    </xf>
    <xf numFmtId="0" fontId="3" fillId="0" borderId="0" xfId="4" applyAlignment="1" applyProtection="1">
      <alignment vertical="center"/>
      <protection locked="0"/>
    </xf>
    <xf numFmtId="0" fontId="12" fillId="2" borderId="0" xfId="3" applyFont="1" applyFill="1" applyProtection="1">
      <protection locked="0"/>
    </xf>
    <xf numFmtId="0" fontId="13" fillId="2" borderId="0" xfId="3" applyFont="1" applyFill="1" applyProtection="1"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0" xfId="0" applyFont="1" applyProtection="1">
      <alignment vertical="center"/>
      <protection locked="0"/>
    </xf>
    <xf numFmtId="49" fontId="11" fillId="0" borderId="0" xfId="0" applyNumberFormat="1" applyFont="1" applyFill="1" applyAlignment="1" applyProtection="1">
      <alignment horizontal="center" vertical="center"/>
      <protection locked="0"/>
    </xf>
    <xf numFmtId="49" fontId="11" fillId="0" borderId="0" xfId="0" applyNumberFormat="1" applyFont="1" applyFill="1" applyAlignment="1" applyProtection="1">
      <alignment horizontal="left" vertical="center"/>
      <protection locked="0"/>
    </xf>
    <xf numFmtId="49" fontId="11" fillId="3" borderId="0" xfId="0" applyNumberFormat="1" applyFont="1" applyFill="1" applyAlignment="1" applyProtection="1">
      <alignment horizontal="left" vertical="center"/>
      <protection locked="0"/>
    </xf>
    <xf numFmtId="49" fontId="11" fillId="3" borderId="0" xfId="0" applyNumberFormat="1" applyFont="1" applyFill="1" applyBorder="1" applyAlignment="1" applyProtection="1">
      <alignment horizontal="left" vertical="center"/>
      <protection locked="0"/>
    </xf>
    <xf numFmtId="49" fontId="11" fillId="0" borderId="0" xfId="0" applyNumberFormat="1" applyFont="1" applyAlignment="1" applyProtection="1">
      <alignment horizontal="left" vertical="center"/>
      <protection locked="0"/>
    </xf>
    <xf numFmtId="49" fontId="7" fillId="0" borderId="0" xfId="1" applyNumberFormat="1" applyFont="1"/>
    <xf numFmtId="49" fontId="7" fillId="0" borderId="0" xfId="0" applyNumberFormat="1" applyFont="1">
      <alignment vertical="center"/>
    </xf>
    <xf numFmtId="49" fontId="7" fillId="0" borderId="0" xfId="1" applyNumberFormat="1" applyFont="1" applyFill="1"/>
    <xf numFmtId="0" fontId="0" fillId="0" borderId="0" xfId="0" applyAlignment="1">
      <alignment vertical="center"/>
    </xf>
    <xf numFmtId="0" fontId="6" fillId="0" borderId="0" xfId="2" applyNumberFormat="1" applyFont="1" applyFill="1" applyAlignment="1" applyProtection="1">
      <alignment vertical="center"/>
      <protection hidden="1"/>
    </xf>
    <xf numFmtId="0" fontId="2" fillId="0" borderId="0" xfId="2" applyNumberFormat="1" applyFont="1" applyFill="1" applyAlignment="1" applyProtection="1">
      <alignment vertical="center"/>
      <protection hidden="1"/>
    </xf>
    <xf numFmtId="0" fontId="1" fillId="0" borderId="0" xfId="0" applyNumberFormat="1" applyFont="1" applyFill="1" applyAlignment="1" applyProtection="1">
      <alignment horizontal="center" vertical="center"/>
      <protection hidden="1"/>
    </xf>
    <xf numFmtId="0" fontId="5" fillId="0" borderId="0" xfId="2" applyNumberFormat="1" applyFont="1" applyFill="1" applyBorder="1" applyAlignment="1" applyProtection="1">
      <alignment horizontal="center" vertical="center"/>
      <protection hidden="1"/>
    </xf>
    <xf numFmtId="0" fontId="5" fillId="0" borderId="0" xfId="2" applyNumberFormat="1" applyFont="1" applyFill="1" applyAlignment="1" applyProtection="1">
      <alignment horizontal="center" vertical="center"/>
      <protection hidden="1"/>
    </xf>
    <xf numFmtId="0" fontId="6" fillId="0" borderId="0" xfId="2" applyNumberFormat="1" applyFont="1" applyFill="1" applyAlignment="1" applyProtection="1">
      <alignment horizontal="center" vertical="center"/>
      <protection hidden="1"/>
    </xf>
    <xf numFmtId="49" fontId="2" fillId="4" borderId="2" xfId="2" applyNumberFormat="1" applyFont="1" applyFill="1" applyBorder="1" applyAlignment="1" applyProtection="1">
      <alignment horizontal="center" vertical="center"/>
      <protection locked="0"/>
    </xf>
    <xf numFmtId="49" fontId="14" fillId="0" borderId="0" xfId="0" applyNumberFormat="1" applyFont="1" applyFill="1" applyAlignment="1" applyProtection="1">
      <alignment horizontal="center" vertical="center"/>
      <protection locked="0"/>
    </xf>
    <xf numFmtId="49" fontId="11" fillId="0" borderId="3" xfId="0" applyNumberFormat="1" applyFont="1" applyFill="1" applyBorder="1" applyAlignment="1" applyProtection="1">
      <alignment horizontal="center" vertical="center"/>
      <protection locked="0"/>
    </xf>
    <xf numFmtId="49" fontId="11" fillId="0" borderId="0" xfId="0" applyNumberFormat="1" applyFont="1" applyFill="1" applyProtection="1">
      <alignment vertical="center"/>
      <protection locked="0"/>
    </xf>
    <xf numFmtId="49" fontId="11" fillId="3" borderId="0" xfId="0" applyNumberFormat="1" applyFont="1" applyFill="1" applyProtection="1">
      <alignment vertical="center"/>
      <protection locked="0"/>
    </xf>
    <xf numFmtId="0" fontId="2" fillId="0" borderId="0" xfId="2" applyNumberFormat="1" applyFont="1" applyFill="1" applyBorder="1" applyAlignment="1" applyProtection="1">
      <alignment vertical="center"/>
      <protection hidden="1"/>
    </xf>
    <xf numFmtId="0" fontId="6" fillId="0" borderId="0" xfId="2" applyNumberFormat="1" applyFont="1" applyFill="1" applyBorder="1" applyAlignment="1" applyProtection="1">
      <alignment vertical="center"/>
      <protection hidden="1"/>
    </xf>
    <xf numFmtId="0" fontId="2" fillId="0" borderId="0" xfId="2" applyNumberFormat="1" applyFont="1" applyFill="1" applyBorder="1" applyAlignment="1" applyProtection="1">
      <alignment horizontal="right" vertical="center"/>
      <protection hidden="1"/>
    </xf>
    <xf numFmtId="49" fontId="21" fillId="0" borderId="0" xfId="0" applyNumberFormat="1" applyFont="1">
      <alignment vertical="center"/>
    </xf>
    <xf numFmtId="49" fontId="25" fillId="0" borderId="0" xfId="0" applyNumberFormat="1" applyFont="1">
      <alignment vertical="center"/>
    </xf>
    <xf numFmtId="0" fontId="27" fillId="0" borderId="0" xfId="0" applyFont="1" applyAlignment="1" applyProtection="1">
      <alignment horizontal="center" vertical="center"/>
      <protection locked="0"/>
    </xf>
    <xf numFmtId="0" fontId="0" fillId="0" borderId="0" xfId="0" applyBorder="1" applyProtection="1">
      <alignment vertical="center"/>
      <protection locked="0"/>
    </xf>
    <xf numFmtId="49" fontId="29" fillId="0" borderId="0" xfId="0" applyNumberFormat="1" applyFont="1">
      <alignment vertical="center"/>
    </xf>
    <xf numFmtId="49" fontId="2" fillId="5" borderId="4" xfId="2" applyNumberFormat="1" applyFont="1" applyFill="1" applyBorder="1" applyAlignment="1" applyProtection="1">
      <alignment horizontal="center" vertical="center"/>
      <protection locked="0"/>
    </xf>
    <xf numFmtId="0" fontId="2" fillId="4" borderId="4" xfId="2" applyNumberFormat="1" applyFont="1" applyFill="1" applyBorder="1" applyAlignment="1" applyProtection="1">
      <alignment horizontal="center" vertical="center"/>
      <protection locked="0"/>
    </xf>
    <xf numFmtId="49" fontId="2" fillId="4" borderId="4" xfId="2" applyNumberFormat="1" applyFont="1" applyFill="1" applyBorder="1" applyAlignment="1" applyProtection="1">
      <alignment horizontal="center" vertical="center"/>
      <protection locked="0"/>
    </xf>
    <xf numFmtId="49" fontId="22" fillId="4" borderId="4" xfId="2" applyNumberFormat="1" applyFont="1" applyFill="1" applyBorder="1" applyAlignment="1" applyProtection="1">
      <alignment horizontal="center" vertical="center"/>
      <protection locked="0"/>
    </xf>
    <xf numFmtId="49" fontId="20" fillId="4" borderId="4" xfId="2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Protection="1">
      <alignment vertical="center"/>
      <protection locked="0"/>
    </xf>
    <xf numFmtId="49" fontId="11" fillId="3" borderId="4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27" fillId="0" borderId="0" xfId="0" applyFont="1" applyBorder="1" applyAlignment="1" applyProtection="1">
      <alignment horizontal="center" vertical="center"/>
      <protection locked="0"/>
    </xf>
    <xf numFmtId="49" fontId="2" fillId="4" borderId="0" xfId="2" applyNumberFormat="1" applyFont="1" applyFill="1" applyBorder="1" applyAlignment="1" applyProtection="1">
      <alignment horizontal="center" vertical="center"/>
      <protection locked="0"/>
    </xf>
    <xf numFmtId="49" fontId="2" fillId="5" borderId="0" xfId="2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Protection="1">
      <alignment vertical="center"/>
      <protection locked="0"/>
    </xf>
    <xf numFmtId="49" fontId="1" fillId="0" borderId="0" xfId="0" applyNumberFormat="1" applyFont="1" applyProtection="1">
      <alignment vertical="center"/>
      <protection locked="0"/>
    </xf>
    <xf numFmtId="49" fontId="10" fillId="0" borderId="0" xfId="0" applyNumberFormat="1" applyFont="1" applyFill="1" applyAlignment="1" applyProtection="1">
      <alignment horizontal="left" vertical="center"/>
      <protection locked="0"/>
    </xf>
    <xf numFmtId="49" fontId="10" fillId="0" borderId="0" xfId="0" applyNumberFormat="1" applyFont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0" fillId="0" borderId="0" xfId="0" applyNumberFormat="1" applyFont="1" applyProtection="1">
      <alignment vertical="center"/>
      <protection locked="0"/>
    </xf>
    <xf numFmtId="49" fontId="24" fillId="0" borderId="0" xfId="0" applyNumberFormat="1" applyFont="1" applyProtection="1">
      <alignment vertical="center"/>
      <protection locked="0"/>
    </xf>
    <xf numFmtId="49" fontId="26" fillId="0" borderId="0" xfId="0" applyNumberFormat="1" applyFont="1" applyProtection="1">
      <alignment vertical="center"/>
      <protection locked="0"/>
    </xf>
    <xf numFmtId="49" fontId="28" fillId="0" borderId="0" xfId="0" applyNumberFormat="1" applyFont="1" applyProtection="1">
      <alignment vertical="center"/>
      <protection locked="0"/>
    </xf>
    <xf numFmtId="176" fontId="2" fillId="5" borderId="2" xfId="2" applyNumberFormat="1" applyFont="1" applyFill="1" applyBorder="1" applyAlignment="1" applyProtection="1">
      <alignment horizontal="center" vertical="center"/>
      <protection hidden="1"/>
    </xf>
    <xf numFmtId="49" fontId="11" fillId="3" borderId="4" xfId="0" applyNumberFormat="1" applyFont="1" applyFill="1" applyBorder="1" applyAlignment="1" applyProtection="1">
      <alignment horizontal="left" vertical="center"/>
      <protection locked="0"/>
    </xf>
    <xf numFmtId="49" fontId="11" fillId="3" borderId="5" xfId="0" applyNumberFormat="1" applyFont="1" applyFill="1" applyBorder="1" applyAlignment="1" applyProtection="1">
      <alignment horizontal="center" vertical="center"/>
      <protection locked="0"/>
    </xf>
    <xf numFmtId="49" fontId="11" fillId="3" borderId="2" xfId="0" applyNumberFormat="1" applyFont="1" applyFill="1" applyBorder="1" applyAlignment="1" applyProtection="1">
      <alignment horizontal="center" vertical="center"/>
      <protection locked="0"/>
    </xf>
    <xf numFmtId="49" fontId="2" fillId="4" borderId="6" xfId="2" applyNumberFormat="1" applyFont="1" applyFill="1" applyBorder="1" applyAlignment="1" applyProtection="1">
      <alignment horizontal="center" vertical="center"/>
      <protection locked="0"/>
    </xf>
    <xf numFmtId="176" fontId="2" fillId="4" borderId="4" xfId="2" applyNumberFormat="1" applyFont="1" applyFill="1" applyBorder="1" applyAlignment="1" applyProtection="1">
      <alignment horizontal="center" vertical="center"/>
      <protection locked="0"/>
    </xf>
    <xf numFmtId="49" fontId="11" fillId="0" borderId="0" xfId="0" applyNumberFormat="1" applyFont="1" applyAlignment="1" applyProtection="1">
      <alignment horizontal="center" vertical="center"/>
      <protection locked="0"/>
    </xf>
    <xf numFmtId="49" fontId="11" fillId="0" borderId="0" xfId="0" applyNumberFormat="1" applyFont="1" applyBorder="1" applyProtection="1">
      <alignment vertical="center"/>
      <protection locked="0"/>
    </xf>
    <xf numFmtId="0" fontId="11" fillId="0" borderId="0" xfId="0" applyNumberFormat="1" applyFont="1" applyBorder="1" applyAlignment="1" applyProtection="1">
      <alignment horizontal="center" vertical="center"/>
      <protection locked="0"/>
    </xf>
    <xf numFmtId="49" fontId="11" fillId="0" borderId="0" xfId="0" applyNumberFormat="1" applyFont="1" applyBorder="1" applyAlignment="1" applyProtection="1">
      <alignment horizontal="center" vertical="center"/>
      <protection locked="0"/>
    </xf>
    <xf numFmtId="49" fontId="11" fillId="0" borderId="0" xfId="0" applyNumberFormat="1" applyFont="1" applyBorder="1" applyAlignment="1" applyProtection="1">
      <alignment horizontal="left" vertical="center"/>
      <protection locked="0"/>
    </xf>
    <xf numFmtId="49" fontId="11" fillId="3" borderId="0" xfId="0" applyNumberFormat="1" applyFont="1" applyFill="1" applyAlignment="1" applyProtection="1">
      <alignment horizontal="left" vertical="center" wrapText="1"/>
      <protection locked="0"/>
    </xf>
    <xf numFmtId="49" fontId="11" fillId="0" borderId="0" xfId="0" applyNumberFormat="1" applyFont="1" applyBorder="1" applyAlignment="1" applyProtection="1">
      <alignment vertical="center" wrapText="1"/>
      <protection locked="0"/>
    </xf>
    <xf numFmtId="49" fontId="30" fillId="0" borderId="0" xfId="0" applyNumberFormat="1" applyFont="1" applyBorder="1" applyAlignment="1" applyProtection="1">
      <alignment horizontal="center" vertical="center"/>
      <protection locked="0"/>
    </xf>
    <xf numFmtId="49" fontId="11" fillId="3" borderId="7" xfId="0" applyNumberFormat="1" applyFont="1" applyFill="1" applyBorder="1" applyAlignment="1" applyProtection="1">
      <alignment horizontal="center" vertical="center"/>
      <protection locked="0"/>
    </xf>
    <xf numFmtId="49" fontId="32" fillId="3" borderId="0" xfId="0" applyNumberFormat="1" applyFont="1" applyFill="1" applyBorder="1" applyAlignment="1" applyProtection="1">
      <alignment horizontal="center" vertical="center"/>
      <protection locked="0"/>
    </xf>
    <xf numFmtId="49" fontId="32" fillId="3" borderId="7" xfId="0" applyNumberFormat="1" applyFont="1" applyFill="1" applyBorder="1" applyAlignment="1" applyProtection="1">
      <alignment horizontal="center" vertical="center"/>
      <protection locked="0"/>
    </xf>
    <xf numFmtId="49" fontId="11" fillId="3" borderId="8" xfId="0" applyNumberFormat="1" applyFont="1" applyFill="1" applyBorder="1" applyAlignment="1" applyProtection="1">
      <alignment horizontal="center" vertical="center"/>
      <protection locked="0"/>
    </xf>
    <xf numFmtId="49" fontId="9" fillId="3" borderId="9" xfId="0" applyNumberFormat="1" applyFont="1" applyFill="1" applyBorder="1" applyAlignment="1" applyProtection="1">
      <alignment horizontal="center" vertical="center"/>
      <protection locked="0"/>
    </xf>
    <xf numFmtId="49" fontId="9" fillId="3" borderId="10" xfId="0" applyNumberFormat="1" applyFont="1" applyFill="1" applyBorder="1" applyAlignment="1" applyProtection="1">
      <alignment horizontal="right" vertical="center"/>
      <protection locked="0"/>
    </xf>
    <xf numFmtId="49" fontId="11" fillId="3" borderId="11" xfId="0" applyNumberFormat="1" applyFont="1" applyFill="1" applyBorder="1" applyAlignment="1" applyProtection="1">
      <alignment horizontal="center" vertical="center"/>
      <protection locked="0"/>
    </xf>
    <xf numFmtId="49" fontId="9" fillId="3" borderId="7" xfId="0" applyNumberFormat="1" applyFont="1" applyFill="1" applyBorder="1" applyAlignment="1" applyProtection="1">
      <alignment horizontal="center" vertical="center"/>
      <protection locked="0"/>
    </xf>
    <xf numFmtId="49" fontId="34" fillId="4" borderId="10" xfId="0" applyNumberFormat="1" applyFont="1" applyFill="1" applyBorder="1" applyAlignment="1" applyProtection="1">
      <alignment horizontal="center" vertical="center"/>
      <protection locked="0"/>
    </xf>
    <xf numFmtId="49" fontId="7" fillId="4" borderId="4" xfId="0" applyNumberFormat="1" applyFont="1" applyFill="1" applyBorder="1" applyAlignment="1" applyProtection="1">
      <alignment horizontal="center" vertical="center"/>
      <protection locked="0"/>
    </xf>
    <xf numFmtId="49" fontId="11" fillId="3" borderId="0" xfId="0" applyNumberFormat="1" applyFont="1" applyFill="1" applyAlignment="1" applyProtection="1">
      <alignment horizontal="center" vertical="center"/>
      <protection locked="0"/>
    </xf>
    <xf numFmtId="49" fontId="7" fillId="4" borderId="2" xfId="0" applyNumberFormat="1" applyFont="1" applyFill="1" applyBorder="1" applyAlignment="1" applyProtection="1">
      <alignment horizontal="center" vertical="center"/>
      <protection locked="0"/>
    </xf>
    <xf numFmtId="49" fontId="11" fillId="3" borderId="3" xfId="0" applyNumberFormat="1" applyFont="1" applyFill="1" applyBorder="1" applyAlignment="1" applyProtection="1">
      <alignment horizontal="center" vertical="center"/>
      <protection locked="0"/>
    </xf>
    <xf numFmtId="49" fontId="11" fillId="3" borderId="0" xfId="0" applyNumberFormat="1" applyFont="1" applyFill="1" applyBorder="1" applyAlignment="1" applyProtection="1">
      <alignment horizontal="center" vertical="center"/>
      <protection locked="0"/>
    </xf>
    <xf numFmtId="0" fontId="16" fillId="5" borderId="0" xfId="2" applyNumberFormat="1" applyFont="1" applyFill="1" applyBorder="1" applyAlignment="1" applyProtection="1">
      <alignment vertical="center"/>
      <protection locked="0"/>
    </xf>
    <xf numFmtId="0" fontId="17" fillId="5" borderId="0" xfId="2" applyNumberFormat="1" applyFont="1" applyFill="1" applyBorder="1" applyAlignment="1" applyProtection="1">
      <alignment vertical="center"/>
      <protection locked="0"/>
    </xf>
    <xf numFmtId="0" fontId="2" fillId="5" borderId="0" xfId="2" applyNumberFormat="1" applyFont="1" applyFill="1" applyBorder="1" applyAlignment="1" applyProtection="1">
      <alignment horizontal="right" vertical="center"/>
      <protection locked="0"/>
    </xf>
    <xf numFmtId="0" fontId="2" fillId="5" borderId="0" xfId="2" applyNumberFormat="1" applyFont="1" applyFill="1" applyBorder="1" applyAlignment="1" applyProtection="1">
      <alignment horizontal="left" vertical="center"/>
      <protection locked="0"/>
    </xf>
    <xf numFmtId="0" fontId="2" fillId="5" borderId="4" xfId="2" applyNumberFormat="1" applyFont="1" applyFill="1" applyBorder="1" applyAlignment="1" applyProtection="1">
      <alignment horizontal="center" vertical="center" shrinkToFit="1"/>
      <protection locked="0"/>
    </xf>
    <xf numFmtId="49" fontId="2" fillId="5" borderId="4" xfId="2" applyNumberFormat="1" applyFont="1" applyFill="1" applyBorder="1" applyAlignment="1" applyProtection="1">
      <alignment horizontal="center" vertical="center" shrinkToFit="1"/>
      <protection locked="0"/>
    </xf>
    <xf numFmtId="0" fontId="2" fillId="5" borderId="8" xfId="2" applyNumberFormat="1" applyFont="1" applyFill="1" applyBorder="1" applyAlignment="1" applyProtection="1">
      <alignment vertical="center"/>
      <protection locked="0"/>
    </xf>
    <xf numFmtId="49" fontId="2" fillId="5" borderId="6" xfId="2" applyNumberFormat="1" applyFont="1" applyFill="1" applyBorder="1" applyAlignment="1" applyProtection="1">
      <alignment vertical="center"/>
      <protection locked="0"/>
    </xf>
    <xf numFmtId="0" fontId="2" fillId="5" borderId="6" xfId="2" applyNumberFormat="1" applyFont="1" applyFill="1" applyBorder="1" applyAlignment="1" applyProtection="1">
      <alignment horizontal="right" vertical="center"/>
      <protection locked="0"/>
    </xf>
    <xf numFmtId="0" fontId="2" fillId="5" borderId="6" xfId="2" applyNumberFormat="1" applyFont="1" applyFill="1" applyBorder="1" applyAlignment="1" applyProtection="1">
      <alignment vertical="center"/>
      <protection locked="0"/>
    </xf>
    <xf numFmtId="0" fontId="2" fillId="0" borderId="0" xfId="2" applyNumberFormat="1" applyFont="1" applyFill="1" applyBorder="1" applyAlignment="1" applyProtection="1">
      <alignment vertical="center"/>
      <protection locked="0"/>
    </xf>
    <xf numFmtId="49" fontId="2" fillId="0" borderId="0" xfId="2" applyNumberFormat="1" applyFont="1" applyFill="1" applyBorder="1" applyAlignment="1" applyProtection="1">
      <alignment vertical="center"/>
      <protection locked="0"/>
    </xf>
    <xf numFmtId="0" fontId="2" fillId="0" borderId="0" xfId="2" applyNumberFormat="1" applyFont="1" applyFill="1" applyBorder="1" applyAlignment="1" applyProtection="1">
      <alignment horizontal="center" vertical="center"/>
      <protection locked="0"/>
    </xf>
    <xf numFmtId="0" fontId="2" fillId="0" borderId="0" xfId="2" quotePrefix="1" applyNumberFormat="1" applyFont="1" applyFill="1" applyBorder="1" applyAlignment="1" applyProtection="1">
      <alignment vertical="center"/>
      <protection locked="0"/>
    </xf>
    <xf numFmtId="0" fontId="2" fillId="0" borderId="0" xfId="2" applyNumberFormat="1" applyFont="1" applyFill="1" applyAlignment="1" applyProtection="1">
      <alignment vertical="center"/>
      <protection locked="0"/>
    </xf>
    <xf numFmtId="49" fontId="2" fillId="0" borderId="0" xfId="2" applyNumberFormat="1" applyFont="1" applyFill="1" applyAlignment="1" applyProtection="1">
      <alignment vertical="center"/>
      <protection locked="0"/>
    </xf>
    <xf numFmtId="0" fontId="2" fillId="0" borderId="0" xfId="2" applyNumberFormat="1" applyFont="1" applyFill="1" applyAlignment="1" applyProtection="1">
      <alignment horizontal="center" vertical="center"/>
      <protection locked="0"/>
    </xf>
    <xf numFmtId="0" fontId="18" fillId="5" borderId="0" xfId="2" applyNumberFormat="1" applyFont="1" applyFill="1" applyBorder="1" applyAlignment="1" applyProtection="1">
      <alignment horizontal="right" vertical="center"/>
      <protection locked="0"/>
    </xf>
    <xf numFmtId="0" fontId="18" fillId="5" borderId="6" xfId="2" applyNumberFormat="1" applyFont="1" applyFill="1" applyBorder="1" applyAlignment="1" applyProtection="1">
      <alignment horizontal="right" vertical="center"/>
      <protection locked="0"/>
    </xf>
    <xf numFmtId="49" fontId="11" fillId="3" borderId="8" xfId="0" applyNumberFormat="1" applyFont="1" applyFill="1" applyBorder="1" applyAlignment="1" applyProtection="1">
      <alignment horizontal="center" vertical="center"/>
      <protection locked="0"/>
    </xf>
    <xf numFmtId="49" fontId="35" fillId="5" borderId="12" xfId="0" applyNumberFormat="1" applyFont="1" applyFill="1" applyBorder="1" applyAlignment="1" applyProtection="1">
      <alignment horizontal="center" vertical="center"/>
      <protection locked="0"/>
    </xf>
    <xf numFmtId="49" fontId="11" fillId="3" borderId="0" xfId="0" applyNumberFormat="1" applyFont="1" applyFill="1" applyBorder="1" applyAlignment="1" applyProtection="1">
      <alignment horizontal="center" vertical="center"/>
      <protection locked="0"/>
    </xf>
    <xf numFmtId="49" fontId="7" fillId="4" borderId="12" xfId="0" applyNumberFormat="1" applyFont="1" applyFill="1" applyBorder="1" applyAlignment="1" applyProtection="1">
      <alignment horizontal="center" vertical="center"/>
      <protection locked="0"/>
    </xf>
    <xf numFmtId="176" fontId="11" fillId="0" borderId="0" xfId="0" applyNumberFormat="1" applyFont="1" applyBorder="1" applyAlignment="1" applyProtection="1">
      <alignment horizontal="center" vertical="center"/>
      <protection locked="0"/>
    </xf>
    <xf numFmtId="49" fontId="14" fillId="3" borderId="0" xfId="0" applyNumberFormat="1" applyFont="1" applyFill="1" applyAlignment="1" applyProtection="1">
      <alignment horizontal="center" vertical="center"/>
      <protection locked="0"/>
    </xf>
    <xf numFmtId="49" fontId="9" fillId="3" borderId="10" xfId="0" applyNumberFormat="1" applyFont="1" applyFill="1" applyBorder="1" applyAlignment="1" applyProtection="1">
      <alignment horizontal="center" vertical="center"/>
      <protection locked="0"/>
    </xf>
    <xf numFmtId="49" fontId="9" fillId="3" borderId="13" xfId="0" applyNumberFormat="1" applyFont="1" applyFill="1" applyBorder="1" applyAlignment="1" applyProtection="1">
      <alignment horizontal="center" vertical="center"/>
      <protection locked="0"/>
    </xf>
    <xf numFmtId="49" fontId="9" fillId="3" borderId="0" xfId="0" applyNumberFormat="1" applyFont="1" applyFill="1" applyBorder="1" applyAlignment="1" applyProtection="1">
      <alignment horizontal="center" vertical="center"/>
      <protection locked="0"/>
    </xf>
    <xf numFmtId="49" fontId="9" fillId="3" borderId="5" xfId="0" applyNumberFormat="1" applyFont="1" applyFill="1" applyBorder="1" applyAlignment="1" applyProtection="1">
      <alignment horizontal="left" vertical="center"/>
      <protection locked="0"/>
    </xf>
    <xf numFmtId="49" fontId="9" fillId="3" borderId="6" xfId="0" applyNumberFormat="1" applyFont="1" applyFill="1" applyBorder="1" applyAlignment="1" applyProtection="1">
      <alignment horizontal="left" vertical="center"/>
      <protection locked="0"/>
    </xf>
    <xf numFmtId="49" fontId="9" fillId="3" borderId="14" xfId="0" applyNumberFormat="1" applyFont="1" applyFill="1" applyBorder="1" applyAlignment="1" applyProtection="1">
      <alignment horizontal="left" vertical="center"/>
      <protection locked="0"/>
    </xf>
    <xf numFmtId="49" fontId="9" fillId="3" borderId="2" xfId="0" applyNumberFormat="1" applyFont="1" applyFill="1" applyBorder="1" applyAlignment="1" applyProtection="1">
      <alignment horizontal="left" vertical="center"/>
      <protection locked="0"/>
    </xf>
    <xf numFmtId="49" fontId="9" fillId="3" borderId="4" xfId="0" applyNumberFormat="1" applyFont="1" applyFill="1" applyBorder="1" applyAlignment="1" applyProtection="1">
      <alignment horizontal="left" vertical="center"/>
      <protection locked="0"/>
    </xf>
    <xf numFmtId="49" fontId="9" fillId="3" borderId="8" xfId="0" applyNumberFormat="1" applyFont="1" applyFill="1" applyBorder="1" applyAlignment="1" applyProtection="1">
      <alignment horizontal="left" vertical="center"/>
      <protection locked="0"/>
    </xf>
    <xf numFmtId="49" fontId="11" fillId="0" borderId="0" xfId="0" applyNumberFormat="1" applyFont="1" applyFill="1" applyBorder="1" applyAlignment="1" applyProtection="1">
      <alignment horizontal="center" vertical="center"/>
      <protection locked="0"/>
    </xf>
    <xf numFmtId="49" fontId="2" fillId="5" borderId="4" xfId="2" applyNumberFormat="1" applyFont="1" applyFill="1" applyBorder="1" applyAlignment="1" applyProtection="1">
      <alignment horizontal="center" vertical="center" shrinkToFit="1"/>
      <protection hidden="1"/>
    </xf>
    <xf numFmtId="49" fontId="11" fillId="0" borderId="0" xfId="0" applyNumberFormat="1" applyFont="1" applyBorder="1" applyAlignment="1" applyProtection="1">
      <alignment horizontal="center" vertical="center" shrinkToFit="1"/>
      <protection locked="0"/>
    </xf>
    <xf numFmtId="49" fontId="1" fillId="6" borderId="0" xfId="0" applyNumberFormat="1" applyFont="1" applyFill="1" applyProtection="1">
      <alignment vertical="center"/>
      <protection locked="0"/>
    </xf>
    <xf numFmtId="49" fontId="15" fillId="0" borderId="0" xfId="0" applyNumberFormat="1" applyFont="1" applyFill="1" applyAlignment="1" applyProtection="1">
      <alignment horizontal="center" vertical="center"/>
      <protection locked="0"/>
    </xf>
    <xf numFmtId="0" fontId="15" fillId="0" borderId="0" xfId="0" applyNumberFormat="1" applyFont="1" applyFill="1" applyAlignment="1" applyProtection="1">
      <alignment horizontal="center" vertical="center"/>
      <protection locked="0"/>
    </xf>
    <xf numFmtId="49" fontId="15" fillId="5" borderId="0" xfId="0" applyNumberFormat="1" applyFont="1" applyFill="1" applyAlignment="1" applyProtection="1">
      <alignment horizontal="center" vertical="center"/>
      <protection locked="0"/>
    </xf>
    <xf numFmtId="49" fontId="15" fillId="0" borderId="0" xfId="0" applyNumberFormat="1" applyFont="1" applyFill="1" applyAlignment="1" applyProtection="1">
      <alignment horizontal="left" vertical="center"/>
      <protection locked="0"/>
    </xf>
    <xf numFmtId="49" fontId="11" fillId="3" borderId="0" xfId="0" applyNumberFormat="1" applyFont="1" applyFill="1" applyAlignment="1" applyProtection="1">
      <alignment horizontal="left" vertical="center"/>
      <protection locked="0"/>
    </xf>
    <xf numFmtId="49" fontId="15" fillId="3" borderId="0" xfId="0" applyNumberFormat="1" applyFont="1" applyFill="1" applyAlignment="1" applyProtection="1">
      <alignment horizontal="center" vertical="center"/>
      <protection locked="0"/>
    </xf>
    <xf numFmtId="0" fontId="15" fillId="3" borderId="0" xfId="0" applyNumberFormat="1" applyFont="1" applyFill="1" applyAlignment="1" applyProtection="1">
      <alignment horizontal="center" vertical="center"/>
      <protection locked="0"/>
    </xf>
    <xf numFmtId="49" fontId="15" fillId="3" borderId="3" xfId="0" applyNumberFormat="1" applyFont="1" applyFill="1" applyBorder="1" applyAlignment="1" applyProtection="1">
      <alignment horizontal="center" vertical="center"/>
      <protection locked="0"/>
    </xf>
    <xf numFmtId="0" fontId="15" fillId="3" borderId="3" xfId="0" applyNumberFormat="1" applyFont="1" applyFill="1" applyBorder="1" applyAlignment="1" applyProtection="1">
      <alignment horizontal="center" vertical="center"/>
      <protection locked="0"/>
    </xf>
    <xf numFmtId="49" fontId="15" fillId="5" borderId="0" xfId="0" applyNumberFormat="1" applyFont="1" applyFill="1" applyBorder="1" applyAlignment="1" applyProtection="1">
      <alignment horizontal="center" vertical="center"/>
      <protection locked="0"/>
    </xf>
    <xf numFmtId="49" fontId="15" fillId="0" borderId="3" xfId="0" applyNumberFormat="1" applyFont="1" applyFill="1" applyBorder="1" applyAlignment="1" applyProtection="1">
      <alignment horizontal="left" vertical="center"/>
      <protection locked="0"/>
    </xf>
    <xf numFmtId="49" fontId="9" fillId="3" borderId="4" xfId="0" applyNumberFormat="1" applyFont="1" applyFill="1" applyBorder="1" applyAlignment="1" applyProtection="1">
      <alignment horizontal="center" vertical="center"/>
      <protection locked="0"/>
    </xf>
    <xf numFmtId="49" fontId="9" fillId="3" borderId="4" xfId="0" applyNumberFormat="1" applyFont="1" applyFill="1" applyBorder="1" applyAlignment="1" applyProtection="1">
      <alignment horizontal="center" vertical="center" wrapText="1"/>
      <protection locked="0"/>
    </xf>
    <xf numFmtId="49" fontId="9" fillId="5" borderId="0" xfId="0" applyNumberFormat="1" applyFont="1" applyFill="1" applyBorder="1" applyAlignment="1" applyProtection="1">
      <alignment horizontal="center" vertical="center"/>
      <protection locked="0"/>
    </xf>
    <xf numFmtId="49" fontId="9" fillId="7" borderId="4" xfId="0" applyNumberFormat="1" applyFont="1" applyFill="1" applyBorder="1" applyAlignment="1" applyProtection="1">
      <alignment horizontal="center" vertical="center"/>
      <protection locked="0"/>
    </xf>
    <xf numFmtId="49" fontId="9" fillId="8" borderId="2" xfId="0" applyNumberFormat="1" applyFont="1" applyFill="1" applyBorder="1" applyAlignment="1" applyProtection="1">
      <alignment horizontal="center" vertical="center"/>
      <protection locked="0"/>
    </xf>
    <xf numFmtId="49" fontId="9" fillId="8" borderId="4" xfId="0" applyNumberFormat="1" applyFont="1" applyFill="1" applyBorder="1" applyAlignment="1" applyProtection="1">
      <alignment horizontal="center" vertical="center"/>
      <protection locked="0"/>
    </xf>
    <xf numFmtId="49" fontId="9" fillId="7" borderId="8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NumberFormat="1" applyFont="1" applyAlignment="1" applyProtection="1">
      <alignment horizontal="center" vertical="center"/>
      <protection locked="0"/>
    </xf>
    <xf numFmtId="49" fontId="30" fillId="0" borderId="0" xfId="0" applyNumberFormat="1" applyFont="1" applyAlignment="1" applyProtection="1">
      <alignment horizontal="center" vertical="center"/>
      <protection locked="0"/>
    </xf>
    <xf numFmtId="49" fontId="11" fillId="5" borderId="0" xfId="0" applyNumberFormat="1" applyFont="1" applyFill="1" applyAlignment="1" applyProtection="1">
      <alignment horizontal="center" vertical="center"/>
      <protection locked="0"/>
    </xf>
    <xf numFmtId="49" fontId="11" fillId="3" borderId="8" xfId="0" applyNumberFormat="1" applyFont="1" applyFill="1" applyBorder="1" applyAlignment="1" applyProtection="1">
      <alignment horizontal="center" vertical="center"/>
      <protection locked="0"/>
    </xf>
    <xf numFmtId="49" fontId="11" fillId="3" borderId="0" xfId="0" applyNumberFormat="1" applyFont="1" applyFill="1" applyAlignment="1" applyProtection="1">
      <alignment horizontal="center" vertical="center"/>
      <protection locked="0"/>
    </xf>
    <xf numFmtId="49" fontId="11" fillId="3" borderId="3" xfId="0" applyNumberFormat="1" applyFont="1" applyFill="1" applyBorder="1" applyAlignment="1" applyProtection="1">
      <alignment horizontal="center" vertical="center"/>
      <protection locked="0"/>
    </xf>
    <xf numFmtId="49" fontId="36" fillId="0" borderId="0" xfId="0" applyNumberFormat="1" applyFont="1" applyFill="1" applyBorder="1" applyAlignment="1" applyProtection="1">
      <alignment horizontal="center" vertical="center"/>
      <protection locked="0"/>
    </xf>
    <xf numFmtId="49" fontId="36" fillId="0" borderId="0" xfId="0" applyNumberFormat="1" applyFont="1" applyFill="1" applyBorder="1" applyProtection="1">
      <alignment vertical="center"/>
      <protection locked="0"/>
    </xf>
    <xf numFmtId="176" fontId="36" fillId="0" borderId="0" xfId="0" applyNumberFormat="1" applyFont="1" applyFill="1" applyBorder="1" applyAlignment="1" applyProtection="1">
      <alignment horizontal="center" vertical="center"/>
      <protection locked="0"/>
    </xf>
    <xf numFmtId="0" fontId="33" fillId="2" borderId="0" xfId="3" applyFont="1" applyFill="1" applyBorder="1" applyAlignment="1" applyProtection="1">
      <alignment horizontal="center" vertical="center" textRotation="255"/>
      <protection locked="0"/>
    </xf>
    <xf numFmtId="0" fontId="2" fillId="5" borderId="6" xfId="2" applyNumberFormat="1" applyFont="1" applyFill="1" applyBorder="1" applyAlignment="1" applyProtection="1">
      <alignment horizontal="right" vertical="center"/>
      <protection locked="0"/>
    </xf>
    <xf numFmtId="0" fontId="18" fillId="5" borderId="3" xfId="2" applyNumberFormat="1" applyFont="1" applyFill="1" applyBorder="1" applyAlignment="1" applyProtection="1">
      <alignment horizontal="right" vertical="center"/>
      <protection locked="0"/>
    </xf>
    <xf numFmtId="0" fontId="2" fillId="5" borderId="3" xfId="2" applyNumberFormat="1" applyFont="1" applyFill="1" applyBorder="1" applyAlignment="1" applyProtection="1">
      <alignment horizontal="right" vertical="center"/>
      <protection locked="0"/>
    </xf>
    <xf numFmtId="49" fontId="2" fillId="4" borderId="3" xfId="2" applyNumberFormat="1" applyFont="1" applyFill="1" applyBorder="1" applyAlignment="1" applyProtection="1">
      <alignment horizontal="center" vertical="center"/>
      <protection locked="0"/>
    </xf>
    <xf numFmtId="49" fontId="23" fillId="4" borderId="3" xfId="2" applyNumberFormat="1" applyFont="1" applyFill="1" applyBorder="1" applyAlignment="1" applyProtection="1">
      <alignment horizontal="center" vertical="center"/>
      <protection locked="0"/>
    </xf>
    <xf numFmtId="0" fontId="16" fillId="5" borderId="0" xfId="2" applyNumberFormat="1" applyFont="1" applyFill="1" applyBorder="1" applyAlignment="1" applyProtection="1">
      <alignment horizontal="center" vertical="center"/>
      <protection locked="0"/>
    </xf>
    <xf numFmtId="0" fontId="2" fillId="5" borderId="8" xfId="2" applyNumberFormat="1" applyFont="1" applyFill="1" applyBorder="1" applyAlignment="1" applyProtection="1">
      <alignment horizontal="center" vertical="center"/>
      <protection locked="0"/>
    </xf>
    <xf numFmtId="0" fontId="2" fillId="5" borderId="6" xfId="2" applyNumberFormat="1" applyFont="1" applyFill="1" applyBorder="1" applyAlignment="1" applyProtection="1">
      <alignment horizontal="center" vertical="center"/>
      <protection locked="0"/>
    </xf>
    <xf numFmtId="0" fontId="2" fillId="5" borderId="6" xfId="2" applyNumberFormat="1" applyFont="1" applyFill="1" applyBorder="1" applyAlignment="1" applyProtection="1">
      <alignment horizontal="center" vertical="center"/>
      <protection hidden="1"/>
    </xf>
    <xf numFmtId="0" fontId="2" fillId="5" borderId="2" xfId="2" applyNumberFormat="1" applyFont="1" applyFill="1" applyBorder="1" applyAlignment="1" applyProtection="1">
      <alignment horizontal="center" vertical="center"/>
      <protection hidden="1"/>
    </xf>
    <xf numFmtId="0" fontId="19" fillId="5" borderId="0" xfId="2" applyNumberFormat="1" applyFont="1" applyFill="1" applyBorder="1" applyAlignment="1" applyProtection="1">
      <alignment horizontal="center" vertical="center"/>
      <protection locked="0"/>
    </xf>
    <xf numFmtId="0" fontId="17" fillId="5" borderId="0" xfId="2" applyNumberFormat="1" applyFont="1" applyFill="1" applyBorder="1" applyAlignment="1" applyProtection="1">
      <alignment horizontal="center" vertical="center"/>
      <protection locked="0"/>
    </xf>
    <xf numFmtId="49" fontId="11" fillId="3" borderId="4" xfId="0" applyNumberFormat="1" applyFont="1" applyFill="1" applyBorder="1" applyAlignment="1" applyProtection="1">
      <alignment horizontal="center" vertical="center"/>
      <protection locked="0"/>
    </xf>
    <xf numFmtId="49" fontId="11" fillId="3" borderId="17" xfId="0" applyNumberFormat="1" applyFont="1" applyFill="1" applyBorder="1" applyAlignment="1" applyProtection="1">
      <alignment horizontal="center" vertical="center"/>
      <protection locked="0"/>
    </xf>
    <xf numFmtId="49" fontId="11" fillId="3" borderId="19" xfId="0" applyNumberFormat="1" applyFont="1" applyFill="1" applyBorder="1" applyAlignment="1" applyProtection="1">
      <alignment horizontal="center" vertical="center"/>
      <protection locked="0"/>
    </xf>
    <xf numFmtId="49" fontId="11" fillId="3" borderId="20" xfId="0" applyNumberFormat="1" applyFont="1" applyFill="1" applyBorder="1" applyAlignment="1" applyProtection="1">
      <alignment horizontal="center" vertical="center"/>
      <protection locked="0"/>
    </xf>
    <xf numFmtId="49" fontId="11" fillId="3" borderId="16" xfId="0" applyNumberFormat="1" applyFont="1" applyFill="1" applyBorder="1" applyAlignment="1" applyProtection="1">
      <alignment horizontal="center" vertical="center"/>
      <protection locked="0"/>
    </xf>
    <xf numFmtId="49" fontId="11" fillId="3" borderId="8" xfId="0" applyNumberFormat="1" applyFont="1" applyFill="1" applyBorder="1" applyAlignment="1" applyProtection="1">
      <alignment horizontal="center" vertical="center"/>
      <protection locked="0"/>
    </xf>
    <xf numFmtId="49" fontId="35" fillId="5" borderId="12" xfId="0" applyNumberFormat="1" applyFont="1" applyFill="1" applyBorder="1" applyAlignment="1" applyProtection="1">
      <alignment horizontal="center" vertical="center"/>
      <protection locked="0"/>
    </xf>
    <xf numFmtId="49" fontId="11" fillId="3" borderId="0" xfId="0" applyNumberFormat="1" applyFont="1" applyFill="1" applyBorder="1" applyAlignment="1" applyProtection="1">
      <alignment horizontal="center" vertical="center"/>
      <protection locked="0"/>
    </xf>
    <xf numFmtId="49" fontId="7" fillId="4" borderId="10" xfId="0" applyNumberFormat="1" applyFont="1" applyFill="1" applyBorder="1" applyAlignment="1" applyProtection="1">
      <alignment horizontal="center" vertical="center"/>
      <protection locked="0"/>
    </xf>
    <xf numFmtId="49" fontId="9" fillId="3" borderId="21" xfId="2" applyNumberFormat="1" applyFont="1" applyFill="1" applyBorder="1" applyAlignment="1" applyProtection="1">
      <alignment horizontal="left" vertical="center"/>
      <protection locked="0"/>
    </xf>
    <xf numFmtId="49" fontId="9" fillId="3" borderId="22" xfId="2" applyNumberFormat="1" applyFont="1" applyFill="1" applyBorder="1" applyAlignment="1" applyProtection="1">
      <alignment horizontal="left" vertical="center"/>
      <protection locked="0"/>
    </xf>
    <xf numFmtId="49" fontId="9" fillId="3" borderId="23" xfId="0" applyNumberFormat="1" applyFont="1" applyFill="1" applyBorder="1" applyAlignment="1" applyProtection="1">
      <alignment horizontal="center" vertical="center"/>
      <protection locked="0"/>
    </xf>
    <xf numFmtId="49" fontId="9" fillId="3" borderId="17" xfId="0" applyNumberFormat="1" applyFont="1" applyFill="1" applyBorder="1" applyAlignment="1" applyProtection="1">
      <alignment horizontal="center" vertical="center"/>
      <protection locked="0"/>
    </xf>
    <xf numFmtId="49" fontId="9" fillId="3" borderId="18" xfId="0" applyNumberFormat="1" applyFont="1" applyFill="1" applyBorder="1" applyAlignment="1" applyProtection="1">
      <alignment horizontal="center" vertical="center"/>
      <protection locked="0"/>
    </xf>
    <xf numFmtId="49" fontId="9" fillId="3" borderId="24" xfId="0" applyNumberFormat="1" applyFont="1" applyFill="1" applyBorder="1" applyAlignment="1" applyProtection="1">
      <alignment horizontal="center" vertical="center"/>
      <protection locked="0"/>
    </xf>
    <xf numFmtId="49" fontId="9" fillId="3" borderId="22" xfId="0" applyNumberFormat="1" applyFont="1" applyFill="1" applyBorder="1" applyAlignment="1" applyProtection="1">
      <alignment horizontal="center" vertical="center"/>
      <protection locked="0"/>
    </xf>
    <xf numFmtId="49" fontId="9" fillId="3" borderId="3" xfId="0" applyNumberFormat="1" applyFont="1" applyFill="1" applyBorder="1" applyAlignment="1" applyProtection="1">
      <alignment horizontal="center" vertical="center"/>
      <protection locked="0"/>
    </xf>
    <xf numFmtId="49" fontId="9" fillId="3" borderId="25" xfId="2" applyNumberFormat="1" applyFont="1" applyFill="1" applyBorder="1" applyAlignment="1" applyProtection="1">
      <alignment horizontal="left" vertical="center"/>
      <protection locked="0"/>
    </xf>
    <xf numFmtId="49" fontId="9" fillId="3" borderId="24" xfId="2" applyNumberFormat="1" applyFont="1" applyFill="1" applyBorder="1" applyAlignment="1" applyProtection="1">
      <alignment horizontal="left" vertical="center"/>
      <protection locked="0"/>
    </xf>
    <xf numFmtId="49" fontId="9" fillId="3" borderId="4" xfId="2" applyNumberFormat="1" applyFont="1" applyFill="1" applyBorder="1" applyAlignment="1" applyProtection="1">
      <alignment horizontal="left" vertical="center"/>
      <protection locked="0"/>
    </xf>
    <xf numFmtId="49" fontId="11" fillId="3" borderId="0" xfId="0" applyNumberFormat="1" applyFont="1" applyFill="1" applyAlignment="1" applyProtection="1">
      <alignment horizontal="center" vertical="center"/>
      <protection locked="0"/>
    </xf>
    <xf numFmtId="49" fontId="7" fillId="4" borderId="8" xfId="0" applyNumberFormat="1" applyFont="1" applyFill="1" applyBorder="1" applyAlignment="1" applyProtection="1">
      <alignment horizontal="center" vertical="center"/>
      <protection locked="0"/>
    </xf>
    <xf numFmtId="49" fontId="7" fillId="4" borderId="2" xfId="0" applyNumberFormat="1" applyFont="1" applyFill="1" applyBorder="1" applyAlignment="1" applyProtection="1">
      <alignment horizontal="center" vertical="center"/>
      <protection locked="0"/>
    </xf>
    <xf numFmtId="49" fontId="7" fillId="4" borderId="4" xfId="0" applyNumberFormat="1" applyFont="1" applyFill="1" applyBorder="1" applyAlignment="1" applyProtection="1">
      <alignment horizontal="center" vertical="center"/>
      <protection locked="0"/>
    </xf>
    <xf numFmtId="49" fontId="11" fillId="3" borderId="3" xfId="0" applyNumberFormat="1" applyFont="1" applyFill="1" applyBorder="1" applyAlignment="1" applyProtection="1">
      <alignment horizontal="center" vertical="center"/>
      <protection locked="0"/>
    </xf>
    <xf numFmtId="49" fontId="7" fillId="4" borderId="12" xfId="0" applyNumberFormat="1" applyFont="1" applyFill="1" applyBorder="1" applyAlignment="1" applyProtection="1">
      <alignment horizontal="center" vertical="center"/>
      <protection locked="0"/>
    </xf>
    <xf numFmtId="49" fontId="9" fillId="3" borderId="15" xfId="0" applyNumberFormat="1" applyFont="1" applyFill="1" applyBorder="1" applyAlignment="1" applyProtection="1">
      <alignment horizontal="center"/>
      <protection locked="0"/>
    </xf>
    <xf numFmtId="0" fontId="9" fillId="3" borderId="15" xfId="0" applyNumberFormat="1" applyFont="1" applyFill="1" applyBorder="1" applyAlignment="1" applyProtection="1">
      <alignment horizontal="center"/>
      <protection locked="0"/>
    </xf>
    <xf numFmtId="0" fontId="8" fillId="0" borderId="0" xfId="0" applyNumberFormat="1" applyFont="1" applyAlignment="1" applyProtection="1">
      <alignment horizontal="center" vertical="center"/>
      <protection locked="0"/>
    </xf>
    <xf numFmtId="49" fontId="11" fillId="0" borderId="0" xfId="0" applyNumberFormat="1" applyFont="1" applyProtection="1">
      <alignment vertical="center"/>
      <protection locked="0"/>
    </xf>
    <xf numFmtId="0" fontId="8" fillId="0" borderId="0" xfId="0" applyNumberFormat="1" applyFont="1" applyAlignment="1" applyProtection="1">
      <alignment horizontal="left" vertical="center"/>
      <protection locked="0"/>
    </xf>
  </cellXfs>
  <cellStyles count="6">
    <cellStyle name="常规" xfId="0" builtinId="0"/>
    <cellStyle name="常规_Sheet1" xfId="1"/>
    <cellStyle name="常规_SP 库存分布" xfId="2"/>
    <cellStyle name="常规_物品管理系统V1.3.1" xfId="3"/>
    <cellStyle name="超链接" xfId="4" builtinId="8"/>
    <cellStyle name="一般_Record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hyperlink" Target="http://www.kuguanyi.com/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jpe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58</xdr:col>
      <xdr:colOff>542925</xdr:colOff>
      <xdr:row>4</xdr:row>
      <xdr:rowOff>0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0" y="0"/>
          <a:ext cx="39576375" cy="723900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val="C5C5FF"/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absolute">
    <xdr:from>
      <xdr:col>1</xdr:col>
      <xdr:colOff>304800</xdr:colOff>
      <xdr:row>0</xdr:row>
      <xdr:rowOff>19049</xdr:rowOff>
    </xdr:from>
    <xdr:to>
      <xdr:col>11</xdr:col>
      <xdr:colOff>209551</xdr:colOff>
      <xdr:row>3</xdr:row>
      <xdr:rowOff>114300</xdr:rowOff>
    </xdr:to>
    <xdr:sp macro="" textlink="">
      <xdr:nvSpPr>
        <xdr:cNvPr id="29698" name="txtTaiTou"/>
        <xdr:cNvSpPr txBox="1">
          <a:spLocks noChangeArrowheads="1"/>
        </xdr:cNvSpPr>
      </xdr:nvSpPr>
      <xdr:spPr bwMode="auto">
        <a:xfrm>
          <a:off x="1009650" y="19049"/>
          <a:ext cx="6000751" cy="666751"/>
        </a:xfrm>
        <a:prstGeom prst="rect">
          <a:avLst/>
        </a:prstGeom>
        <a:noFill/>
        <a:ln>
          <a:noFill/>
        </a:ln>
        <a:effectLst>
          <a:outerShdw blurRad="63500" dist="254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none" lIns="0" tIns="0" rIns="0" bIns="0" anchor="ctr" upright="1"/>
        <a:lstStyle/>
        <a:p>
          <a:pPr algn="ctr" rtl="0">
            <a:defRPr sz="1000"/>
          </a:pPr>
          <a:r>
            <a:rPr lang="zh-CN" altLang="en-US" sz="3400" b="1" i="0" u="none" strike="noStrike" baseline="0">
              <a:solidFill>
                <a:srgbClr val="000099"/>
              </a:solidFill>
              <a:latin typeface="华文楷体" panose="02010600040101010101" pitchFamily="2" charset="-122"/>
              <a:ea typeface="华文楷体" panose="02010600040101010101" pitchFamily="2" charset="-122"/>
            </a:rPr>
            <a:t>库管易</a:t>
          </a:r>
          <a:r>
            <a:rPr lang="en-US" altLang="zh-CN" sz="3400" b="1" i="0" u="none" strike="noStrike" baseline="0">
              <a:solidFill>
                <a:srgbClr val="000099"/>
              </a:solidFill>
              <a:latin typeface="华文楷体" panose="02010600040101010101" pitchFamily="2" charset="-122"/>
              <a:ea typeface="华文楷体" panose="02010600040101010101" pitchFamily="2" charset="-122"/>
            </a:rPr>
            <a:t>Excel</a:t>
          </a:r>
          <a:r>
            <a:rPr lang="zh-CN" altLang="en-US" sz="3400" b="1" i="0" u="none" strike="noStrike" baseline="0">
              <a:solidFill>
                <a:srgbClr val="000099"/>
              </a:solidFill>
              <a:latin typeface="华文楷体" panose="02010600040101010101" pitchFamily="2" charset="-122"/>
              <a:ea typeface="华文楷体" panose="02010600040101010101" pitchFamily="2" charset="-122"/>
            </a:rPr>
            <a:t>库存管理系统</a:t>
          </a:r>
        </a:p>
      </xdr:txBody>
    </xdr:sp>
    <xdr:clientData/>
  </xdr:twoCellAnchor>
  <xdr:twoCellAnchor>
    <xdr:from>
      <xdr:col>0</xdr:col>
      <xdr:colOff>0</xdr:colOff>
      <xdr:row>3</xdr:row>
      <xdr:rowOff>95250</xdr:rowOff>
    </xdr:from>
    <xdr:to>
      <xdr:col>58</xdr:col>
      <xdr:colOff>542925</xdr:colOff>
      <xdr:row>5</xdr:row>
      <xdr:rowOff>38100</xdr:rowOff>
    </xdr:to>
    <xdr:grpSp>
      <xdr:nvGrpSpPr>
        <xdr:cNvPr id="1027" name="Group 3"/>
        <xdr:cNvGrpSpPr>
          <a:grpSpLocks/>
        </xdr:cNvGrpSpPr>
      </xdr:nvGrpSpPr>
      <xdr:grpSpPr bwMode="auto">
        <a:xfrm>
          <a:off x="0" y="666750"/>
          <a:ext cx="39576375" cy="219075"/>
          <a:chOff x="0" y="76"/>
          <a:chExt cx="3160" cy="31"/>
        </a:xfrm>
      </xdr:grpSpPr>
      <xdr:pic>
        <xdr:nvPicPr>
          <xdr:cNvPr id="1074" name="Picture 4"/>
          <xdr:cNvPicPr preferRelativeResize="0"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76"/>
            <a:ext cx="1054" cy="31"/>
          </a:xfrm>
          <a:prstGeom prst="rect">
            <a:avLst/>
          </a:prstGeom>
          <a:noFill/>
          <a:ln>
            <a:noFill/>
          </a:ln>
          <a:effectLst>
            <a:outerShdw dist="35921" dir="2700000" algn="ctr" rotWithShape="0">
              <a:srgbClr val="808080">
                <a:alpha val="50000"/>
              </a:srgb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75" name="Picture 5" descr="未命名"/>
          <xdr:cNvPicPr preferRelativeResize="0"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2" y="76"/>
            <a:ext cx="2108" cy="31"/>
          </a:xfrm>
          <a:prstGeom prst="rect">
            <a:avLst/>
          </a:prstGeom>
          <a:noFill/>
          <a:ln>
            <a:noFill/>
          </a:ln>
          <a:effectLst>
            <a:outerShdw dist="35921" dir="2700000" algn="ctr" rotWithShape="0">
              <a:srgbClr val="808080">
                <a:alpha val="50000"/>
              </a:srgb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</xdr:col>
      <xdr:colOff>342900</xdr:colOff>
      <xdr:row>6</xdr:row>
      <xdr:rowOff>190500</xdr:rowOff>
    </xdr:from>
    <xdr:to>
      <xdr:col>2</xdr:col>
      <xdr:colOff>381000</xdr:colOff>
      <xdr:row>9</xdr:row>
      <xdr:rowOff>152400</xdr:rowOff>
    </xdr:to>
    <xdr:grpSp>
      <xdr:nvGrpSpPr>
        <xdr:cNvPr id="1028" name="组合 9"/>
        <xdr:cNvGrpSpPr>
          <a:grpSpLocks/>
        </xdr:cNvGrpSpPr>
      </xdr:nvGrpSpPr>
      <xdr:grpSpPr bwMode="auto">
        <a:xfrm>
          <a:off x="1047750" y="1104900"/>
          <a:ext cx="723900" cy="695325"/>
          <a:chOff x="1047750" y="1104984"/>
          <a:chExt cx="720000" cy="695472"/>
        </a:xfrm>
      </xdr:grpSpPr>
      <xdr:pic macro="[0]!goZiLiao">
        <xdr:nvPicPr>
          <xdr:cNvPr id="1072" name="Picture 39"/>
          <xdr:cNvPicPr>
            <a:picLocks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37750" y="1104984"/>
            <a:ext cx="540000" cy="504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ZiLiao" textlink="">
        <xdr:nvSpPr>
          <xdr:cNvPr id="29736" name="WordArt 40"/>
          <xdr:cNvSpPr>
            <a:spLocks noChangeArrowheads="1" noChangeShapeType="1" noTextEdit="1"/>
          </xdr:cNvSpPr>
        </xdr:nvSpPr>
        <xdr:spPr bwMode="auto">
          <a:xfrm>
            <a:off x="1047750" y="1657551"/>
            <a:ext cx="720000" cy="142905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2000" b="1" kern="10" spc="0">
                <a:ln>
                  <a:noFill/>
                </a:ln>
                <a:solidFill>
                  <a:srgbClr xmlns:mc="http://schemas.openxmlformats.org/markup-compatibility/2006" xmlns:a14="http://schemas.microsoft.com/office/drawing/2010/main" val="0000FF" mc:Ignorable="a14" a14:legacySpreadsheetColorIndex="12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基础资料</a:t>
            </a:r>
          </a:p>
        </xdr:txBody>
      </xdr:sp>
    </xdr:grpSp>
    <xdr:clientData/>
  </xdr:twoCellAnchor>
  <xdr:twoCellAnchor>
    <xdr:from>
      <xdr:col>5</xdr:col>
      <xdr:colOff>438150</xdr:colOff>
      <xdr:row>6</xdr:row>
      <xdr:rowOff>190500</xdr:rowOff>
    </xdr:from>
    <xdr:to>
      <xdr:col>6</xdr:col>
      <xdr:colOff>571500</xdr:colOff>
      <xdr:row>9</xdr:row>
      <xdr:rowOff>152400</xdr:rowOff>
    </xdr:to>
    <xdr:grpSp>
      <xdr:nvGrpSpPr>
        <xdr:cNvPr id="1029" name="组合 11"/>
        <xdr:cNvGrpSpPr>
          <a:grpSpLocks/>
        </xdr:cNvGrpSpPr>
      </xdr:nvGrpSpPr>
      <xdr:grpSpPr bwMode="auto">
        <a:xfrm>
          <a:off x="3600450" y="1104900"/>
          <a:ext cx="723900" cy="695325"/>
          <a:chOff x="3600450" y="1104927"/>
          <a:chExt cx="720000" cy="695529"/>
        </a:xfrm>
      </xdr:grpSpPr>
      <xdr:pic macro="[0]!goUser">
        <xdr:nvPicPr>
          <xdr:cNvPr id="1070" name="Picture 42"/>
          <xdr:cNvPicPr>
            <a:picLocks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690450" y="1104927"/>
            <a:ext cx="540000" cy="504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User" textlink="">
        <xdr:nvSpPr>
          <xdr:cNvPr id="29739" name="WordArt 43"/>
          <xdr:cNvSpPr>
            <a:spLocks noChangeArrowheads="1" noChangeShapeType="1" noTextEdit="1"/>
          </xdr:cNvSpPr>
        </xdr:nvSpPr>
        <xdr:spPr bwMode="auto">
          <a:xfrm>
            <a:off x="3600450" y="1657539"/>
            <a:ext cx="720000" cy="142917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1600" b="1" kern="10" spc="0">
                <a:ln>
                  <a:noFill/>
                </a:ln>
                <a:solidFill>
                  <a:srgbClr xmlns:mc="http://schemas.openxmlformats.org/markup-compatibility/2006" xmlns:a14="http://schemas.microsoft.com/office/drawing/2010/main" val="0000FF" mc:Ignorable="a14" a14:legacySpreadsheetColorIndex="12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账号管理</a:t>
            </a:r>
          </a:p>
        </xdr:txBody>
      </xdr:sp>
    </xdr:grpSp>
    <xdr:clientData/>
  </xdr:twoCellAnchor>
  <xdr:twoCellAnchor>
    <xdr:from>
      <xdr:col>7</xdr:col>
      <xdr:colOff>533400</xdr:colOff>
      <xdr:row>18</xdr:row>
      <xdr:rowOff>209550</xdr:rowOff>
    </xdr:from>
    <xdr:to>
      <xdr:col>9</xdr:col>
      <xdr:colOff>76200</xdr:colOff>
      <xdr:row>21</xdr:row>
      <xdr:rowOff>133350</xdr:rowOff>
    </xdr:to>
    <xdr:grpSp>
      <xdr:nvGrpSpPr>
        <xdr:cNvPr id="1030" name="组合 6"/>
        <xdr:cNvGrpSpPr>
          <a:grpSpLocks/>
        </xdr:cNvGrpSpPr>
      </xdr:nvGrpSpPr>
      <xdr:grpSpPr bwMode="auto">
        <a:xfrm>
          <a:off x="4876800" y="3486150"/>
          <a:ext cx="723900" cy="657225"/>
          <a:chOff x="4876800" y="3483813"/>
          <a:chExt cx="720000" cy="660356"/>
        </a:xfrm>
      </xdr:grpSpPr>
      <xdr:pic macro="[0]!goSanLan">
        <xdr:nvPicPr>
          <xdr:cNvPr id="1068" name="Picture 45"/>
          <xdr:cNvPicPr>
            <a:picLocks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52400" y="3483813"/>
            <a:ext cx="568800" cy="486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SanLan" textlink="">
        <xdr:nvSpPr>
          <xdr:cNvPr id="29742" name="WordArt 46"/>
          <xdr:cNvSpPr>
            <a:spLocks noChangeArrowheads="1" noChangeShapeType="1" noTextEdit="1"/>
          </xdr:cNvSpPr>
        </xdr:nvSpPr>
        <xdr:spPr bwMode="auto">
          <a:xfrm>
            <a:off x="4876800" y="4000613"/>
            <a:ext cx="720000" cy="143556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1800" b="1" kern="10" spc="0">
                <a:ln>
                  <a:noFill/>
                </a:ln>
                <a:solidFill>
                  <a:srgbClr xmlns:mc="http://schemas.openxmlformats.org/markup-compatibility/2006" xmlns:a14="http://schemas.microsoft.com/office/drawing/2010/main" val="0000FF" mc:Ignorable="a14" a14:legacySpreadsheetColorIndex="12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三栏台账</a:t>
            </a:r>
          </a:p>
        </xdr:txBody>
      </xdr:sp>
    </xdr:grpSp>
    <xdr:clientData/>
  </xdr:twoCellAnchor>
  <xdr:twoCellAnchor>
    <xdr:from>
      <xdr:col>1</xdr:col>
      <xdr:colOff>381000</xdr:colOff>
      <xdr:row>12</xdr:row>
      <xdr:rowOff>152400</xdr:rowOff>
    </xdr:from>
    <xdr:to>
      <xdr:col>2</xdr:col>
      <xdr:colOff>342900</xdr:colOff>
      <xdr:row>15</xdr:row>
      <xdr:rowOff>152400</xdr:rowOff>
    </xdr:to>
    <xdr:grpSp>
      <xdr:nvGrpSpPr>
        <xdr:cNvPr id="1031" name="组合 14"/>
        <xdr:cNvGrpSpPr>
          <a:grpSpLocks/>
        </xdr:cNvGrpSpPr>
      </xdr:nvGrpSpPr>
      <xdr:grpSpPr bwMode="auto">
        <a:xfrm>
          <a:off x="1085850" y="2247900"/>
          <a:ext cx="647700" cy="733425"/>
          <a:chOff x="1100684" y="2248430"/>
          <a:chExt cx="648000" cy="733464"/>
        </a:xfrm>
      </xdr:grpSpPr>
      <xdr:sp macro="[0]!goRuKuJi" textlink="">
        <xdr:nvSpPr>
          <xdr:cNvPr id="29747" name="WordArt 51"/>
          <xdr:cNvSpPr>
            <a:spLocks noChangeArrowheads="1" noChangeShapeType="1" noTextEdit="1"/>
          </xdr:cNvSpPr>
        </xdr:nvSpPr>
        <xdr:spPr bwMode="auto">
          <a:xfrm>
            <a:off x="1100684" y="2839011"/>
            <a:ext cx="648000" cy="142883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2000" b="1" kern="10" spc="0">
                <a:ln>
                  <a:noFill/>
                </a:ln>
                <a:solidFill>
                  <a:srgbClr val="0000FF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入库单</a:t>
            </a:r>
          </a:p>
        </xdr:txBody>
      </xdr:sp>
      <xdr:pic macro="[0]!goRuKuJi">
        <xdr:nvPicPr>
          <xdr:cNvPr id="1067" name="Picture 52"/>
          <xdr:cNvPicPr>
            <a:picLocks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24084" y="2248430"/>
            <a:ext cx="601200" cy="5436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381000</xdr:colOff>
      <xdr:row>12</xdr:row>
      <xdr:rowOff>190500</xdr:rowOff>
    </xdr:from>
    <xdr:to>
      <xdr:col>6</xdr:col>
      <xdr:colOff>514350</xdr:colOff>
      <xdr:row>15</xdr:row>
      <xdr:rowOff>152400</xdr:rowOff>
    </xdr:to>
    <xdr:grpSp>
      <xdr:nvGrpSpPr>
        <xdr:cNvPr id="1032" name="组合 1"/>
        <xdr:cNvGrpSpPr>
          <a:grpSpLocks/>
        </xdr:cNvGrpSpPr>
      </xdr:nvGrpSpPr>
      <xdr:grpSpPr bwMode="auto">
        <a:xfrm>
          <a:off x="3543300" y="2286000"/>
          <a:ext cx="723900" cy="695325"/>
          <a:chOff x="4876800" y="2288030"/>
          <a:chExt cx="720000" cy="693864"/>
        </a:xfrm>
      </xdr:grpSpPr>
      <xdr:sp macro="[0]!goKuCunCha" textlink="">
        <xdr:nvSpPr>
          <xdr:cNvPr id="29750" name="WordArt 54"/>
          <xdr:cNvSpPr>
            <a:spLocks noChangeArrowheads="1" noChangeShapeType="1" noTextEdit="1"/>
          </xdr:cNvSpPr>
        </xdr:nvSpPr>
        <xdr:spPr bwMode="auto">
          <a:xfrm>
            <a:off x="4876800" y="2839319"/>
            <a:ext cx="720000" cy="142575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1600" b="1" kern="10" spc="0">
                <a:ln>
                  <a:noFill/>
                </a:ln>
                <a:solidFill>
                  <a:srgbClr xmlns:mc="http://schemas.openxmlformats.org/markup-compatibility/2006" xmlns:a14="http://schemas.microsoft.com/office/drawing/2010/main" val="0000FF" mc:Ignorable="a14" a14:legacySpreadsheetColorIndex="12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库存汇总</a:t>
            </a:r>
          </a:p>
        </xdr:txBody>
      </xdr:sp>
      <xdr:pic macro="[0]!goKuCunCha">
        <xdr:nvPicPr>
          <xdr:cNvPr id="1065" name="Picture 55"/>
          <xdr:cNvPicPr>
            <a:picLocks noChangeArrowheads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48800" y="2288030"/>
            <a:ext cx="576000" cy="504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7</xdr:col>
      <xdr:colOff>533400</xdr:colOff>
      <xdr:row>6</xdr:row>
      <xdr:rowOff>209550</xdr:rowOff>
    </xdr:from>
    <xdr:to>
      <xdr:col>9</xdr:col>
      <xdr:colOff>76200</xdr:colOff>
      <xdr:row>9</xdr:row>
      <xdr:rowOff>152400</xdr:rowOff>
    </xdr:to>
    <xdr:grpSp>
      <xdr:nvGrpSpPr>
        <xdr:cNvPr id="1033" name="组合 21"/>
        <xdr:cNvGrpSpPr>
          <a:grpSpLocks/>
        </xdr:cNvGrpSpPr>
      </xdr:nvGrpSpPr>
      <xdr:grpSpPr bwMode="auto">
        <a:xfrm>
          <a:off x="4876800" y="1123950"/>
          <a:ext cx="723900" cy="676275"/>
          <a:chOff x="3600450" y="2306030"/>
          <a:chExt cx="720000" cy="675864"/>
        </a:xfrm>
      </xdr:grpSpPr>
      <xdr:sp macro="[0]!goData" textlink="">
        <xdr:nvSpPr>
          <xdr:cNvPr id="29753" name="WordArt 57"/>
          <xdr:cNvSpPr>
            <a:spLocks noChangeArrowheads="1" noChangeShapeType="1" noTextEdit="1"/>
          </xdr:cNvSpPr>
        </xdr:nvSpPr>
        <xdr:spPr bwMode="auto">
          <a:xfrm>
            <a:off x="3600450" y="2839106"/>
            <a:ext cx="720000" cy="142788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1800" b="1" kern="10" spc="0">
                <a:ln>
                  <a:noFill/>
                </a:ln>
                <a:solidFill>
                  <a:srgbClr xmlns:mc="http://schemas.openxmlformats.org/markup-compatibility/2006" xmlns:a14="http://schemas.microsoft.com/office/drawing/2010/main" val="0000FF" mc:Ignorable="a14" a14:legacySpreadsheetColorIndex="12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进出明细</a:t>
            </a:r>
          </a:p>
        </xdr:txBody>
      </xdr:sp>
      <xdr:pic macro="[0]!goData">
        <xdr:nvPicPr>
          <xdr:cNvPr id="1063" name="Picture 58"/>
          <xdr:cNvPicPr>
            <a:picLocks noChangeArrowheads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699450" y="2306030"/>
            <a:ext cx="522000" cy="486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7</xdr:col>
      <xdr:colOff>504825</xdr:colOff>
      <xdr:row>12</xdr:row>
      <xdr:rowOff>190500</xdr:rowOff>
    </xdr:from>
    <xdr:to>
      <xdr:col>9</xdr:col>
      <xdr:colOff>47625</xdr:colOff>
      <xdr:row>15</xdr:row>
      <xdr:rowOff>152400</xdr:rowOff>
    </xdr:to>
    <xdr:grpSp>
      <xdr:nvGrpSpPr>
        <xdr:cNvPr id="1034" name="组合 12"/>
        <xdr:cNvGrpSpPr>
          <a:grpSpLocks/>
        </xdr:cNvGrpSpPr>
      </xdr:nvGrpSpPr>
      <xdr:grpSpPr bwMode="auto">
        <a:xfrm>
          <a:off x="4848225" y="2286000"/>
          <a:ext cx="723900" cy="695325"/>
          <a:chOff x="4876800" y="2288030"/>
          <a:chExt cx="720000" cy="693864"/>
        </a:xfrm>
      </xdr:grpSpPr>
      <xdr:sp macro="[0]!goJinXiao" textlink="">
        <xdr:nvSpPr>
          <xdr:cNvPr id="29756" name="WordArt 60"/>
          <xdr:cNvSpPr>
            <a:spLocks noChangeArrowheads="1" noChangeShapeType="1" noTextEdit="1"/>
          </xdr:cNvSpPr>
        </xdr:nvSpPr>
        <xdr:spPr bwMode="auto">
          <a:xfrm>
            <a:off x="4876800" y="2839319"/>
            <a:ext cx="720000" cy="142575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1800" b="1" kern="10" spc="0">
                <a:ln>
                  <a:noFill/>
                </a:ln>
                <a:solidFill>
                  <a:srgbClr xmlns:mc="http://schemas.openxmlformats.org/markup-compatibility/2006" xmlns:a14="http://schemas.microsoft.com/office/drawing/2010/main" val="0000FF" mc:Ignorable="a14" a14:legacySpreadsheetColorIndex="12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进销报表</a:t>
            </a:r>
          </a:p>
        </xdr:txBody>
      </xdr:sp>
      <xdr:pic macro="[0]!goJinXiao">
        <xdr:nvPicPr>
          <xdr:cNvPr id="1061" name="Picture 61"/>
          <xdr:cNvPicPr>
            <a:picLocks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48800" y="2288030"/>
            <a:ext cx="576000" cy="504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3</xdr:col>
      <xdr:colOff>342900</xdr:colOff>
      <xdr:row>18</xdr:row>
      <xdr:rowOff>190500</xdr:rowOff>
    </xdr:from>
    <xdr:to>
      <xdr:col>4</xdr:col>
      <xdr:colOff>476250</xdr:colOff>
      <xdr:row>21</xdr:row>
      <xdr:rowOff>133350</xdr:rowOff>
    </xdr:to>
    <xdr:grpSp>
      <xdr:nvGrpSpPr>
        <xdr:cNvPr id="1035" name="组合 4"/>
        <xdr:cNvGrpSpPr>
          <a:grpSpLocks/>
        </xdr:cNvGrpSpPr>
      </xdr:nvGrpSpPr>
      <xdr:grpSpPr bwMode="auto">
        <a:xfrm>
          <a:off x="2324100" y="3467100"/>
          <a:ext cx="723900" cy="676275"/>
          <a:chOff x="2319338" y="3465813"/>
          <a:chExt cx="720000" cy="678300"/>
        </a:xfrm>
      </xdr:grpSpPr>
      <xdr:sp macro="[0]!goDanPin" textlink="">
        <xdr:nvSpPr>
          <xdr:cNvPr id="29759" name="WordArt 63"/>
          <xdr:cNvSpPr>
            <a:spLocks noChangeArrowheads="1" noChangeShapeType="1" noTextEdit="1"/>
          </xdr:cNvSpPr>
        </xdr:nvSpPr>
        <xdr:spPr bwMode="auto">
          <a:xfrm>
            <a:off x="2319338" y="4000810"/>
            <a:ext cx="720000" cy="143303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2000" b="1" kern="10" spc="0">
                <a:ln>
                  <a:noFill/>
                </a:ln>
                <a:solidFill>
                  <a:srgbClr xmlns:mc="http://schemas.openxmlformats.org/markup-compatibility/2006" xmlns:a14="http://schemas.microsoft.com/office/drawing/2010/main" val="0000FF" mc:Ignorable="a14" a14:legacySpreadsheetColorIndex="12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单品查询</a:t>
            </a:r>
          </a:p>
        </xdr:txBody>
      </xdr:sp>
      <xdr:pic macro="[0]!goDanPin">
        <xdr:nvPicPr>
          <xdr:cNvPr id="1059" name="Picture 64" descr="136"/>
          <xdr:cNvPicPr>
            <a:picLocks noChangeArrowheads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391338" y="3465813"/>
            <a:ext cx="576000" cy="504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438150</xdr:colOff>
      <xdr:row>18</xdr:row>
      <xdr:rowOff>180975</xdr:rowOff>
    </xdr:from>
    <xdr:to>
      <xdr:col>6</xdr:col>
      <xdr:colOff>571500</xdr:colOff>
      <xdr:row>21</xdr:row>
      <xdr:rowOff>133350</xdr:rowOff>
    </xdr:to>
    <xdr:grpSp>
      <xdr:nvGrpSpPr>
        <xdr:cNvPr id="1036" name="组合 5"/>
        <xdr:cNvGrpSpPr>
          <a:grpSpLocks/>
        </xdr:cNvGrpSpPr>
      </xdr:nvGrpSpPr>
      <xdr:grpSpPr bwMode="auto">
        <a:xfrm>
          <a:off x="3600450" y="3457575"/>
          <a:ext cx="723900" cy="685800"/>
          <a:chOff x="3600450" y="3456288"/>
          <a:chExt cx="720000" cy="687797"/>
        </a:xfrm>
      </xdr:grpSpPr>
      <xdr:sp macro="[0]!goGaoJi" textlink="">
        <xdr:nvSpPr>
          <xdr:cNvPr id="29762" name="WordArt 66"/>
          <xdr:cNvSpPr>
            <a:spLocks noChangeArrowheads="1" noChangeShapeType="1" noTextEdit="1"/>
          </xdr:cNvSpPr>
        </xdr:nvSpPr>
        <xdr:spPr bwMode="auto">
          <a:xfrm>
            <a:off x="3600450" y="4000794"/>
            <a:ext cx="720000" cy="143291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2000" b="1" kern="10" spc="0">
                <a:ln>
                  <a:noFill/>
                </a:ln>
                <a:solidFill>
                  <a:srgbClr xmlns:mc="http://schemas.openxmlformats.org/markup-compatibility/2006" xmlns:a14="http://schemas.microsoft.com/office/drawing/2010/main" val="0000FF" mc:Ignorable="a14" a14:legacySpreadsheetColorIndex="12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进出查询</a:t>
            </a:r>
          </a:p>
        </xdr:txBody>
      </xdr:sp>
      <xdr:pic macro="[0]!goGaoJi">
        <xdr:nvPicPr>
          <xdr:cNvPr id="1057" name="Picture 67"/>
          <xdr:cNvPicPr>
            <a:picLocks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659850" y="3456288"/>
            <a:ext cx="601200" cy="504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</xdr:col>
      <xdr:colOff>342900</xdr:colOff>
      <xdr:row>18</xdr:row>
      <xdr:rowOff>161925</xdr:rowOff>
    </xdr:from>
    <xdr:to>
      <xdr:col>2</xdr:col>
      <xdr:colOff>381000</xdr:colOff>
      <xdr:row>21</xdr:row>
      <xdr:rowOff>133350</xdr:rowOff>
    </xdr:to>
    <xdr:grpSp>
      <xdr:nvGrpSpPr>
        <xdr:cNvPr id="1037" name="组合 3"/>
        <xdr:cNvGrpSpPr>
          <a:grpSpLocks/>
        </xdr:cNvGrpSpPr>
      </xdr:nvGrpSpPr>
      <xdr:grpSpPr bwMode="auto">
        <a:xfrm>
          <a:off x="1047750" y="3438525"/>
          <a:ext cx="723900" cy="704850"/>
          <a:chOff x="1047750" y="3438288"/>
          <a:chExt cx="720000" cy="705623"/>
        </a:xfrm>
      </xdr:grpSpPr>
      <xdr:sp macro="[0]!goDanCha" textlink="">
        <xdr:nvSpPr>
          <xdr:cNvPr id="29765" name="WordArt 69"/>
          <xdr:cNvSpPr>
            <a:spLocks noChangeArrowheads="1" noChangeShapeType="1" noTextEdit="1"/>
          </xdr:cNvSpPr>
        </xdr:nvSpPr>
        <xdr:spPr bwMode="auto">
          <a:xfrm>
            <a:off x="1047750" y="4000879"/>
            <a:ext cx="720000" cy="143032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2000" b="1" kern="10" spc="0">
                <a:ln>
                  <a:noFill/>
                </a:ln>
                <a:solidFill>
                  <a:srgbClr xmlns:mc="http://schemas.openxmlformats.org/markup-compatibility/2006" xmlns:a14="http://schemas.microsoft.com/office/drawing/2010/main" val="0000FF" mc:Ignorable="a14" a14:legacySpreadsheetColorIndex="12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单据查询</a:t>
            </a:r>
          </a:p>
        </xdr:txBody>
      </xdr:sp>
      <xdr:pic macro="[0]!goDanCha">
        <xdr:nvPicPr>
          <xdr:cNvPr id="1055" name="Picture 70"/>
          <xdr:cNvPicPr>
            <a:picLocks noChangeArrowheads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19750" y="3438288"/>
            <a:ext cx="576000" cy="522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10</xdr:col>
      <xdr:colOff>38100</xdr:colOff>
      <xdr:row>18</xdr:row>
      <xdr:rowOff>200025</xdr:rowOff>
    </xdr:from>
    <xdr:to>
      <xdr:col>11</xdr:col>
      <xdr:colOff>76200</xdr:colOff>
      <xdr:row>21</xdr:row>
      <xdr:rowOff>133350</xdr:rowOff>
    </xdr:to>
    <xdr:grpSp>
      <xdr:nvGrpSpPr>
        <xdr:cNvPr id="1038" name="组合 7"/>
        <xdr:cNvGrpSpPr>
          <a:grpSpLocks/>
        </xdr:cNvGrpSpPr>
      </xdr:nvGrpSpPr>
      <xdr:grpSpPr bwMode="auto">
        <a:xfrm>
          <a:off x="6153150" y="3476625"/>
          <a:ext cx="723900" cy="666750"/>
          <a:chOff x="6153150" y="3474288"/>
          <a:chExt cx="720000" cy="669771"/>
        </a:xfrm>
      </xdr:grpSpPr>
      <xdr:pic macro="[0]!Mymsg">
        <xdr:nvPicPr>
          <xdr:cNvPr id="1052" name="Picture 72"/>
          <xdr:cNvPicPr>
            <a:picLocks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212550" y="3474288"/>
            <a:ext cx="601200" cy="486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Mymsg" textlink="">
        <xdr:nvSpPr>
          <xdr:cNvPr id="29769" name="WordArt 73"/>
          <xdr:cNvSpPr>
            <a:spLocks noChangeArrowheads="1" noChangeShapeType="1" noTextEdit="1"/>
          </xdr:cNvSpPr>
        </xdr:nvSpPr>
        <xdr:spPr bwMode="auto">
          <a:xfrm>
            <a:off x="6153150" y="4000537"/>
            <a:ext cx="720000" cy="143522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2000" b="1" kern="10" spc="0">
                <a:ln>
                  <a:noFill/>
                </a:ln>
                <a:solidFill>
                  <a:srgbClr xmlns:mc="http://schemas.openxmlformats.org/markup-compatibility/2006" xmlns:a14="http://schemas.microsoft.com/office/drawing/2010/main" val="0000FF" mc:Ignorable="a14" a14:legacySpreadsheetColorIndex="12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保存退出</a:t>
            </a:r>
          </a:p>
        </xdr:txBody>
      </xdr:sp>
    </xdr:grpSp>
    <xdr:clientData/>
  </xdr:twoCellAnchor>
  <xdr:twoCellAnchor>
    <xdr:from>
      <xdr:col>3</xdr:col>
      <xdr:colOff>333375</xdr:colOff>
      <xdr:row>12</xdr:row>
      <xdr:rowOff>152400</xdr:rowOff>
    </xdr:from>
    <xdr:to>
      <xdr:col>4</xdr:col>
      <xdr:colOff>390525</xdr:colOff>
      <xdr:row>15</xdr:row>
      <xdr:rowOff>152400</xdr:rowOff>
    </xdr:to>
    <xdr:grpSp>
      <xdr:nvGrpSpPr>
        <xdr:cNvPr id="1039" name="组合 19"/>
        <xdr:cNvGrpSpPr>
          <a:grpSpLocks/>
        </xdr:cNvGrpSpPr>
      </xdr:nvGrpSpPr>
      <xdr:grpSpPr bwMode="auto">
        <a:xfrm>
          <a:off x="2314575" y="2247900"/>
          <a:ext cx="647700" cy="733425"/>
          <a:chOff x="2367609" y="2248430"/>
          <a:chExt cx="648000" cy="733464"/>
        </a:xfrm>
      </xdr:grpSpPr>
      <xdr:sp macro="[0]!goChuKuJi" textlink="">
        <xdr:nvSpPr>
          <xdr:cNvPr id="49" name="WordArt 51"/>
          <xdr:cNvSpPr>
            <a:spLocks noChangeArrowheads="1" noChangeShapeType="1" noTextEdit="1"/>
          </xdr:cNvSpPr>
        </xdr:nvSpPr>
        <xdr:spPr bwMode="auto">
          <a:xfrm>
            <a:off x="2367609" y="2839011"/>
            <a:ext cx="648000" cy="142883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2000" b="1" kern="10" spc="0">
                <a:ln>
                  <a:noFill/>
                </a:ln>
                <a:solidFill>
                  <a:srgbClr val="0000FF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出库单</a:t>
            </a:r>
          </a:p>
        </xdr:txBody>
      </xdr:sp>
      <xdr:pic macro="[0]!goChuKuJi">
        <xdr:nvPicPr>
          <xdr:cNvPr id="1051" name="Picture 52"/>
          <xdr:cNvPicPr>
            <a:picLocks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391009" y="2248430"/>
            <a:ext cx="601200" cy="5436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3</xdr:col>
      <xdr:colOff>342900</xdr:colOff>
      <xdr:row>6</xdr:row>
      <xdr:rowOff>190500</xdr:rowOff>
    </xdr:from>
    <xdr:to>
      <xdr:col>4</xdr:col>
      <xdr:colOff>476250</xdr:colOff>
      <xdr:row>9</xdr:row>
      <xdr:rowOff>152400</xdr:rowOff>
    </xdr:to>
    <xdr:grpSp>
      <xdr:nvGrpSpPr>
        <xdr:cNvPr id="1040" name="组合 10"/>
        <xdr:cNvGrpSpPr>
          <a:grpSpLocks/>
        </xdr:cNvGrpSpPr>
      </xdr:nvGrpSpPr>
      <xdr:grpSpPr bwMode="auto">
        <a:xfrm>
          <a:off x="2324100" y="1104900"/>
          <a:ext cx="723900" cy="695325"/>
          <a:chOff x="2319338" y="1105013"/>
          <a:chExt cx="720000" cy="695443"/>
        </a:xfrm>
      </xdr:grpSpPr>
      <xdr:pic macro="[0]!goCanShu">
        <xdr:nvPicPr>
          <xdr:cNvPr id="1048" name="Picture 42"/>
          <xdr:cNvPicPr>
            <a:picLocks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409338" y="1105013"/>
            <a:ext cx="540000" cy="504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CanShu" textlink="">
        <xdr:nvSpPr>
          <xdr:cNvPr id="50" name="WordArt 43"/>
          <xdr:cNvSpPr>
            <a:spLocks noChangeArrowheads="1" noChangeShapeType="1" noTextEdit="1"/>
          </xdr:cNvSpPr>
        </xdr:nvSpPr>
        <xdr:spPr bwMode="auto">
          <a:xfrm>
            <a:off x="2319338" y="1657557"/>
            <a:ext cx="720000" cy="14289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1600" b="1" kern="10" spc="0">
                <a:ln>
                  <a:noFill/>
                </a:ln>
                <a:solidFill>
                  <a:srgbClr xmlns:mc="http://schemas.openxmlformats.org/markup-compatibility/2006" xmlns:a14="http://schemas.microsoft.com/office/drawing/2010/main" val="0000FF" mc:Ignorable="a14" a14:legacySpreadsheetColorIndex="12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系统设置</a:t>
            </a:r>
          </a:p>
        </xdr:txBody>
      </xdr:sp>
    </xdr:grpSp>
    <xdr:clientData/>
  </xdr:twoCellAnchor>
  <xdr:twoCellAnchor>
    <xdr:from>
      <xdr:col>10</xdr:col>
      <xdr:colOff>38100</xdr:colOff>
      <xdr:row>12</xdr:row>
      <xdr:rowOff>200025</xdr:rowOff>
    </xdr:from>
    <xdr:to>
      <xdr:col>11</xdr:col>
      <xdr:colOff>76200</xdr:colOff>
      <xdr:row>15</xdr:row>
      <xdr:rowOff>152400</xdr:rowOff>
    </xdr:to>
    <xdr:grpSp>
      <xdr:nvGrpSpPr>
        <xdr:cNvPr id="1041" name="组合 8"/>
        <xdr:cNvGrpSpPr>
          <a:grpSpLocks/>
        </xdr:cNvGrpSpPr>
      </xdr:nvGrpSpPr>
      <xdr:grpSpPr bwMode="auto">
        <a:xfrm>
          <a:off x="6153150" y="2295525"/>
          <a:ext cx="723900" cy="685800"/>
          <a:chOff x="4876800" y="2297555"/>
          <a:chExt cx="720000" cy="684339"/>
        </a:xfrm>
      </xdr:grpSpPr>
      <xdr:pic macro="[0]!goJinChu">
        <xdr:nvPicPr>
          <xdr:cNvPr id="1046" name="Picture 42"/>
          <xdr:cNvPicPr>
            <a:picLocks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48800" y="2297555"/>
            <a:ext cx="576000" cy="504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JinChu" textlink="">
        <xdr:nvSpPr>
          <xdr:cNvPr id="56" name="WordArt 43"/>
          <xdr:cNvSpPr>
            <a:spLocks noChangeArrowheads="1" noChangeShapeType="1" noTextEdit="1"/>
          </xdr:cNvSpPr>
        </xdr:nvSpPr>
        <xdr:spPr bwMode="auto">
          <a:xfrm>
            <a:off x="4876800" y="2839323"/>
            <a:ext cx="720000" cy="142571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1600" b="1" kern="10" spc="0">
                <a:ln>
                  <a:noFill/>
                </a:ln>
                <a:solidFill>
                  <a:srgbClr xmlns:mc="http://schemas.openxmlformats.org/markup-compatibility/2006" xmlns:a14="http://schemas.microsoft.com/office/drawing/2010/main" val="0000FF" mc:Ignorable="a14" a14:legacySpreadsheetColorIndex="12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进出统计</a:t>
            </a:r>
          </a:p>
        </xdr:txBody>
      </xdr:sp>
    </xdr:grpSp>
    <xdr:clientData/>
  </xdr:twoCellAnchor>
  <xdr:twoCellAnchor>
    <xdr:from>
      <xdr:col>10</xdr:col>
      <xdr:colOff>38100</xdr:colOff>
      <xdr:row>6</xdr:row>
      <xdr:rowOff>190500</xdr:rowOff>
    </xdr:from>
    <xdr:to>
      <xdr:col>11</xdr:col>
      <xdr:colOff>76200</xdr:colOff>
      <xdr:row>9</xdr:row>
      <xdr:rowOff>152400</xdr:rowOff>
    </xdr:to>
    <xdr:grpSp>
      <xdr:nvGrpSpPr>
        <xdr:cNvPr id="1042" name="组合 13"/>
        <xdr:cNvGrpSpPr>
          <a:grpSpLocks/>
        </xdr:cNvGrpSpPr>
      </xdr:nvGrpSpPr>
      <xdr:grpSpPr bwMode="auto">
        <a:xfrm>
          <a:off x="6153150" y="1104900"/>
          <a:ext cx="723900" cy="695325"/>
          <a:chOff x="6153150" y="1104955"/>
          <a:chExt cx="720000" cy="695501"/>
        </a:xfrm>
      </xdr:grpSpPr>
      <xdr:pic macro="[0]!goShuJu">
        <xdr:nvPicPr>
          <xdr:cNvPr id="1044" name="Picture 42"/>
          <xdr:cNvPicPr>
            <a:picLocks noChangeArrowheads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243150" y="1104955"/>
            <a:ext cx="540000" cy="504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ShuJu" textlink="">
        <xdr:nvSpPr>
          <xdr:cNvPr id="61" name="WordArt 43"/>
          <xdr:cNvSpPr>
            <a:spLocks noChangeArrowheads="1" noChangeShapeType="1" noTextEdit="1"/>
          </xdr:cNvSpPr>
        </xdr:nvSpPr>
        <xdr:spPr bwMode="auto">
          <a:xfrm>
            <a:off x="6153150" y="1657545"/>
            <a:ext cx="720000" cy="142911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1600" b="1" kern="10" spc="0">
                <a:ln>
                  <a:noFill/>
                </a:ln>
                <a:solidFill>
                  <a:srgbClr xmlns:mc="http://schemas.openxmlformats.org/markup-compatibility/2006" xmlns:a14="http://schemas.microsoft.com/office/drawing/2010/main" val="0000FF" mc:Ignorable="a14" a14:legacySpreadsheetColorIndex="12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数据管理</a:t>
            </a:r>
          </a:p>
        </xdr:txBody>
      </xdr:sp>
    </xdr:grpSp>
    <xdr:clientData/>
  </xdr:twoCellAnchor>
  <xdr:twoCellAnchor editAs="oneCell">
    <xdr:from>
      <xdr:col>0</xdr:col>
      <xdr:colOff>485775</xdr:colOff>
      <xdr:row>0</xdr:row>
      <xdr:rowOff>104775</xdr:rowOff>
    </xdr:from>
    <xdr:to>
      <xdr:col>1</xdr:col>
      <xdr:colOff>238125</xdr:colOff>
      <xdr:row>3</xdr:row>
      <xdr:rowOff>19050</xdr:rowOff>
    </xdr:to>
    <xdr:pic>
      <xdr:nvPicPr>
        <xdr:cNvPr id="1043" name="图片 23">
          <a:hlinkClick xmlns:r="http://schemas.openxmlformats.org/officeDocument/2006/relationships" r:id="rId18" tooltip="库管易Excel库存管理系统"/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104775"/>
          <a:ext cx="45720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38100</xdr:colOff>
      <xdr:row>2</xdr:row>
      <xdr:rowOff>158115</xdr:rowOff>
    </xdr:from>
    <xdr:to>
      <xdr:col>12</xdr:col>
      <xdr:colOff>578100</xdr:colOff>
      <xdr:row>4</xdr:row>
      <xdr:rowOff>10065</xdr:rowOff>
    </xdr:to>
    <xdr:sp macro="[0]!ChuKuDan_XinJian" textlink="">
      <xdr:nvSpPr>
        <xdr:cNvPr id="8" name="TextBox 7"/>
        <xdr:cNvSpPr txBox="1">
          <a:spLocks/>
        </xdr:cNvSpPr>
      </xdr:nvSpPr>
      <xdr:spPr>
        <a:xfrm>
          <a:off x="5772150" y="434340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新建</a:t>
          </a:r>
        </a:p>
      </xdr:txBody>
    </xdr:sp>
    <xdr:clientData fPrintsWithSheet="0"/>
  </xdr:twoCellAnchor>
  <xdr:twoCellAnchor editAs="oneCell">
    <xdr:from>
      <xdr:col>12</xdr:col>
      <xdr:colOff>38100</xdr:colOff>
      <xdr:row>0</xdr:row>
      <xdr:rowOff>85725</xdr:rowOff>
    </xdr:from>
    <xdr:to>
      <xdr:col>12</xdr:col>
      <xdr:colOff>578100</xdr:colOff>
      <xdr:row>2</xdr:row>
      <xdr:rowOff>61500</xdr:rowOff>
    </xdr:to>
    <xdr:sp macro="[0]!goIndex" textlink="">
      <xdr:nvSpPr>
        <xdr:cNvPr id="9" name="TextBox 8"/>
        <xdr:cNvSpPr txBox="1">
          <a:spLocks/>
        </xdr:cNvSpPr>
      </xdr:nvSpPr>
      <xdr:spPr>
        <a:xfrm>
          <a:off x="5772150" y="85725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rgbClr val="FFFF00"/>
              </a:solidFill>
            </a:rPr>
            <a:t>返回</a:t>
          </a:r>
        </a:p>
      </xdr:txBody>
    </xdr:sp>
    <xdr:clientData fPrintsWithSheet="0"/>
  </xdr:twoCellAnchor>
  <xdr:twoCellAnchor editAs="oneCell">
    <xdr:from>
      <xdr:col>12</xdr:col>
      <xdr:colOff>38100</xdr:colOff>
      <xdr:row>7</xdr:row>
      <xdr:rowOff>175260</xdr:rowOff>
    </xdr:from>
    <xdr:to>
      <xdr:col>12</xdr:col>
      <xdr:colOff>578100</xdr:colOff>
      <xdr:row>9</xdr:row>
      <xdr:rowOff>27210</xdr:rowOff>
    </xdr:to>
    <xdr:sp macro="[0]!ChuKuDan_DaYin" textlink="">
      <xdr:nvSpPr>
        <xdr:cNvPr id="10" name="TextBox 9"/>
        <xdr:cNvSpPr txBox="1">
          <a:spLocks/>
        </xdr:cNvSpPr>
      </xdr:nvSpPr>
      <xdr:spPr>
        <a:xfrm>
          <a:off x="5772150" y="1480185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rgbClr val="FFFF00"/>
              </a:solidFill>
            </a:rPr>
            <a:t>打印</a:t>
          </a:r>
        </a:p>
      </xdr:txBody>
    </xdr:sp>
    <xdr:clientData fPrintsWithSheet="0"/>
  </xdr:twoCellAnchor>
  <xdr:twoCellAnchor editAs="oneCell">
    <xdr:from>
      <xdr:col>12</xdr:col>
      <xdr:colOff>38100</xdr:colOff>
      <xdr:row>9</xdr:row>
      <xdr:rowOff>123825</xdr:rowOff>
    </xdr:from>
    <xdr:to>
      <xdr:col>12</xdr:col>
      <xdr:colOff>578100</xdr:colOff>
      <xdr:row>10</xdr:row>
      <xdr:rowOff>175800</xdr:rowOff>
    </xdr:to>
    <xdr:sp macro="[0]!ChuKuDan_ShanChu" textlink="">
      <xdr:nvSpPr>
        <xdr:cNvPr id="11" name="TextBox 10"/>
        <xdr:cNvSpPr txBox="1">
          <a:spLocks/>
        </xdr:cNvSpPr>
      </xdr:nvSpPr>
      <xdr:spPr>
        <a:xfrm>
          <a:off x="5772150" y="1828800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删除</a:t>
          </a:r>
        </a:p>
      </xdr:txBody>
    </xdr:sp>
    <xdr:clientData fPrintsWithSheet="0"/>
  </xdr:twoCellAnchor>
  <xdr:twoCellAnchor editAs="oneCell">
    <xdr:from>
      <xdr:col>12</xdr:col>
      <xdr:colOff>38100</xdr:colOff>
      <xdr:row>6</xdr:row>
      <xdr:rowOff>26670</xdr:rowOff>
    </xdr:from>
    <xdr:to>
      <xdr:col>12</xdr:col>
      <xdr:colOff>578100</xdr:colOff>
      <xdr:row>7</xdr:row>
      <xdr:rowOff>78645</xdr:rowOff>
    </xdr:to>
    <xdr:sp macro="[0]!ChuKuDan_ChaXun" textlink="">
      <xdr:nvSpPr>
        <xdr:cNvPr id="12" name="TextBox 11"/>
        <xdr:cNvSpPr txBox="1">
          <a:spLocks/>
        </xdr:cNvSpPr>
      </xdr:nvSpPr>
      <xdr:spPr>
        <a:xfrm>
          <a:off x="5772150" y="1131570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查询</a:t>
          </a:r>
        </a:p>
      </xdr:txBody>
    </xdr:sp>
    <xdr:clientData fPrintsWithSheet="0"/>
  </xdr:twoCellAnchor>
  <xdr:twoCellAnchor editAs="oneCell">
    <xdr:from>
      <xdr:col>12</xdr:col>
      <xdr:colOff>38100</xdr:colOff>
      <xdr:row>4</xdr:row>
      <xdr:rowOff>106680</xdr:rowOff>
    </xdr:from>
    <xdr:to>
      <xdr:col>12</xdr:col>
      <xdr:colOff>578100</xdr:colOff>
      <xdr:row>5</xdr:row>
      <xdr:rowOff>130080</xdr:rowOff>
    </xdr:to>
    <xdr:sp macro="[0]!ChuKuDan_BaoCun" textlink="">
      <xdr:nvSpPr>
        <xdr:cNvPr id="13" name="TextBox 12"/>
        <xdr:cNvSpPr txBox="1">
          <a:spLocks/>
        </xdr:cNvSpPr>
      </xdr:nvSpPr>
      <xdr:spPr>
        <a:xfrm>
          <a:off x="5772150" y="782955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rgbClr val="FFFF00"/>
              </a:solidFill>
            </a:rPr>
            <a:t>保存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2</xdr:row>
      <xdr:rowOff>154686</xdr:rowOff>
    </xdr:from>
    <xdr:to>
      <xdr:col>12</xdr:col>
      <xdr:colOff>568575</xdr:colOff>
      <xdr:row>4</xdr:row>
      <xdr:rowOff>6636</xdr:rowOff>
    </xdr:to>
    <xdr:sp macro="[0]!RuKuDan_XinJian" textlink="">
      <xdr:nvSpPr>
        <xdr:cNvPr id="8" name="TextBox 7"/>
        <xdr:cNvSpPr txBox="1">
          <a:spLocks/>
        </xdr:cNvSpPr>
      </xdr:nvSpPr>
      <xdr:spPr>
        <a:xfrm>
          <a:off x="5753100" y="430911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286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新建</a:t>
          </a:r>
        </a:p>
      </xdr:txBody>
    </xdr:sp>
    <xdr:clientData fPrintsWithSheet="0"/>
  </xdr:twoCellAnchor>
  <xdr:twoCellAnchor editAs="oneCell">
    <xdr:from>
      <xdr:col>12</xdr:col>
      <xdr:colOff>28575</xdr:colOff>
      <xdr:row>0</xdr:row>
      <xdr:rowOff>85725</xdr:rowOff>
    </xdr:from>
    <xdr:to>
      <xdr:col>12</xdr:col>
      <xdr:colOff>568575</xdr:colOff>
      <xdr:row>2</xdr:row>
      <xdr:rowOff>61500</xdr:rowOff>
    </xdr:to>
    <xdr:sp macro="[0]!goIndex" textlink="">
      <xdr:nvSpPr>
        <xdr:cNvPr id="9" name="TextBox 8"/>
        <xdr:cNvSpPr txBox="1">
          <a:spLocks/>
        </xdr:cNvSpPr>
      </xdr:nvSpPr>
      <xdr:spPr>
        <a:xfrm>
          <a:off x="5753100" y="85725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286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rgbClr val="FFFF00"/>
              </a:solidFill>
            </a:rPr>
            <a:t>返回</a:t>
          </a:r>
        </a:p>
      </xdr:txBody>
    </xdr:sp>
    <xdr:clientData fPrintsWithSheet="0"/>
  </xdr:twoCellAnchor>
  <xdr:twoCellAnchor editAs="oneCell">
    <xdr:from>
      <xdr:col>12</xdr:col>
      <xdr:colOff>28575</xdr:colOff>
      <xdr:row>7</xdr:row>
      <xdr:rowOff>161544</xdr:rowOff>
    </xdr:from>
    <xdr:to>
      <xdr:col>12</xdr:col>
      <xdr:colOff>568575</xdr:colOff>
      <xdr:row>9</xdr:row>
      <xdr:rowOff>13494</xdr:rowOff>
    </xdr:to>
    <xdr:sp macro="[0]!RuKuDan_DaYin" textlink="">
      <xdr:nvSpPr>
        <xdr:cNvPr id="10" name="TextBox 9"/>
        <xdr:cNvSpPr txBox="1">
          <a:spLocks/>
        </xdr:cNvSpPr>
      </xdr:nvSpPr>
      <xdr:spPr>
        <a:xfrm>
          <a:off x="5753100" y="1466469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286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rgbClr val="FFFF00"/>
              </a:solidFill>
            </a:rPr>
            <a:t>打印</a:t>
          </a:r>
        </a:p>
      </xdr:txBody>
    </xdr:sp>
    <xdr:clientData fPrintsWithSheet="0"/>
  </xdr:twoCellAnchor>
  <xdr:twoCellAnchor editAs="oneCell">
    <xdr:from>
      <xdr:col>12</xdr:col>
      <xdr:colOff>28575</xdr:colOff>
      <xdr:row>9</xdr:row>
      <xdr:rowOff>106680</xdr:rowOff>
    </xdr:from>
    <xdr:to>
      <xdr:col>12</xdr:col>
      <xdr:colOff>568575</xdr:colOff>
      <xdr:row>10</xdr:row>
      <xdr:rowOff>158655</xdr:rowOff>
    </xdr:to>
    <xdr:sp macro="[0]!RuKuDan_ShanChu" textlink="">
      <xdr:nvSpPr>
        <xdr:cNvPr id="11" name="TextBox 10"/>
        <xdr:cNvSpPr txBox="1">
          <a:spLocks/>
        </xdr:cNvSpPr>
      </xdr:nvSpPr>
      <xdr:spPr>
        <a:xfrm>
          <a:off x="5753100" y="1811655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286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删除</a:t>
          </a:r>
        </a:p>
      </xdr:txBody>
    </xdr:sp>
    <xdr:clientData fPrintsWithSheet="0"/>
  </xdr:twoCellAnchor>
  <xdr:twoCellAnchor editAs="oneCell">
    <xdr:from>
      <xdr:col>12</xdr:col>
      <xdr:colOff>28575</xdr:colOff>
      <xdr:row>6</xdr:row>
      <xdr:rowOff>16383</xdr:rowOff>
    </xdr:from>
    <xdr:to>
      <xdr:col>12</xdr:col>
      <xdr:colOff>568575</xdr:colOff>
      <xdr:row>7</xdr:row>
      <xdr:rowOff>68358</xdr:rowOff>
    </xdr:to>
    <xdr:sp macro="[0]!RuKuDan_ChaXun" textlink="">
      <xdr:nvSpPr>
        <xdr:cNvPr id="12" name="TextBox 11"/>
        <xdr:cNvSpPr txBox="1">
          <a:spLocks/>
        </xdr:cNvSpPr>
      </xdr:nvSpPr>
      <xdr:spPr>
        <a:xfrm>
          <a:off x="5753100" y="1121283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286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查询</a:t>
          </a:r>
        </a:p>
      </xdr:txBody>
    </xdr:sp>
    <xdr:clientData fPrintsWithSheet="0"/>
  </xdr:twoCellAnchor>
  <xdr:twoCellAnchor editAs="oneCell">
    <xdr:from>
      <xdr:col>12</xdr:col>
      <xdr:colOff>28575</xdr:colOff>
      <xdr:row>4</xdr:row>
      <xdr:rowOff>99822</xdr:rowOff>
    </xdr:from>
    <xdr:to>
      <xdr:col>12</xdr:col>
      <xdr:colOff>568575</xdr:colOff>
      <xdr:row>5</xdr:row>
      <xdr:rowOff>123222</xdr:rowOff>
    </xdr:to>
    <xdr:sp macro="[0]!RuKuDan_BaoCun" textlink="">
      <xdr:nvSpPr>
        <xdr:cNvPr id="13" name="TextBox 12"/>
        <xdr:cNvSpPr txBox="1">
          <a:spLocks/>
        </xdr:cNvSpPr>
      </xdr:nvSpPr>
      <xdr:spPr>
        <a:xfrm>
          <a:off x="5753100" y="776097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286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rgbClr val="FFFF00"/>
              </a:solidFill>
            </a:rPr>
            <a:t>保存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16</xdr:col>
      <xdr:colOff>0</xdr:colOff>
      <xdr:row>0</xdr:row>
      <xdr:rowOff>345601</xdr:rowOff>
    </xdr:to>
    <xdr:sp macro="" textlink="">
      <xdr:nvSpPr>
        <xdr:cNvPr id="19457" name="Rectangle 1"/>
        <xdr:cNvSpPr>
          <a:spLocks noChangeArrowheads="1"/>
        </xdr:cNvSpPr>
      </xdr:nvSpPr>
      <xdr:spPr bwMode="auto">
        <a:xfrm>
          <a:off x="0" y="1"/>
          <a:ext cx="9753600" cy="345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0" tIns="0" rIns="0" bIns="0" anchor="ctr" upright="1"/>
        <a:lstStyle/>
        <a:p>
          <a:pPr algn="l" rtl="0">
            <a:defRPr sz="1000"/>
          </a:pPr>
          <a:r>
            <a:rPr lang="zh-CN" altLang="en-US" sz="2400" b="1" i="0" u="none" strike="noStrike" baseline="0">
              <a:solidFill>
                <a:srgbClr val="333300"/>
              </a:solidFill>
              <a:latin typeface="宋体"/>
              <a:ea typeface="宋体"/>
            </a:rPr>
            <a:t>                       进 出 库 明 细</a:t>
          </a:r>
          <a:endParaRPr lang="zh-CN" altLang="en-US" sz="1000" b="0" i="0" u="none" strike="noStrike" baseline="0">
            <a:solidFill>
              <a:srgbClr val="0000FF"/>
            </a:solidFill>
            <a:latin typeface="宋体"/>
            <a:ea typeface="宋体"/>
          </a:endParaRPr>
        </a:p>
      </xdr:txBody>
    </xdr:sp>
    <xdr:clientData/>
  </xdr:twoCellAnchor>
  <xdr:twoCellAnchor editAs="absolute">
    <xdr:from>
      <xdr:col>0</xdr:col>
      <xdr:colOff>47625</xdr:colOff>
      <xdr:row>0</xdr:row>
      <xdr:rowOff>47626</xdr:rowOff>
    </xdr:from>
    <xdr:to>
      <xdr:col>1</xdr:col>
      <xdr:colOff>384525</xdr:colOff>
      <xdr:row>0</xdr:row>
      <xdr:rowOff>299626</xdr:rowOff>
    </xdr:to>
    <xdr:sp macro="[0]!goIndex" textlink="">
      <xdr:nvSpPr>
        <xdr:cNvPr id="6" name="TextBox 5"/>
        <xdr:cNvSpPr txBox="1">
          <a:spLocks/>
        </xdr:cNvSpPr>
      </xdr:nvSpPr>
      <xdr:spPr>
        <a:xfrm>
          <a:off x="47625" y="47626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返回菜单</a:t>
          </a:r>
        </a:p>
      </xdr:txBody>
    </xdr:sp>
    <xdr:clientData fPrintsWithSheet="0"/>
  </xdr:twoCellAnchor>
  <xdr:twoCellAnchor editAs="absolute">
    <xdr:from>
      <xdr:col>1</xdr:col>
      <xdr:colOff>457200</xdr:colOff>
      <xdr:row>0</xdr:row>
      <xdr:rowOff>47626</xdr:rowOff>
    </xdr:from>
    <xdr:to>
      <xdr:col>2</xdr:col>
      <xdr:colOff>451200</xdr:colOff>
      <xdr:row>0</xdr:row>
      <xdr:rowOff>299626</xdr:rowOff>
    </xdr:to>
    <xdr:sp macro="[0]!guiData" textlink="">
      <xdr:nvSpPr>
        <xdr:cNvPr id="8" name="TextBox 7"/>
        <xdr:cNvSpPr txBox="1">
          <a:spLocks/>
        </xdr:cNvSpPr>
      </xdr:nvSpPr>
      <xdr:spPr>
        <a:xfrm>
          <a:off x="876300" y="47626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rtl="0"/>
          <a:r>
            <a:rPr lang="zh-CN" altLang="en-US">
              <a:solidFill>
                <a:schemeClr val="bg1"/>
              </a:solidFill>
              <a:effectLst/>
            </a:rPr>
            <a:t>规范日期</a:t>
          </a:r>
          <a:endParaRPr lang="zh-CN" altLang="zh-CN">
            <a:solidFill>
              <a:schemeClr val="bg1"/>
            </a:solidFill>
            <a:effectLst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1</xdr:row>
      <xdr:rowOff>0</xdr:rowOff>
    </xdr:to>
    <xdr:sp macro="" textlink="">
      <xdr:nvSpPr>
        <xdr:cNvPr id="23560" name="Rectangle 8"/>
        <xdr:cNvSpPr>
          <a:spLocks noChangeArrowheads="1"/>
        </xdr:cNvSpPr>
      </xdr:nvSpPr>
      <xdr:spPr bwMode="auto">
        <a:xfrm>
          <a:off x="0" y="0"/>
          <a:ext cx="8734425" cy="361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ctr" rtl="0">
            <a:defRPr sz="1000"/>
          </a:pPr>
          <a:r>
            <a:rPr lang="zh-CN" altLang="en-US" sz="2400" b="1" i="0" u="none" strike="noStrike" baseline="0">
              <a:solidFill>
                <a:srgbClr val="333300"/>
              </a:solidFill>
              <a:latin typeface="宋体"/>
              <a:ea typeface="宋体"/>
            </a:rPr>
            <a:t>  三 栏 明 细 台 账</a:t>
          </a:r>
        </a:p>
      </xdr:txBody>
    </xdr:sp>
    <xdr:clientData/>
  </xdr:twoCellAnchor>
  <xdr:twoCellAnchor editAs="absolute">
    <xdr:from>
      <xdr:col>0</xdr:col>
      <xdr:colOff>47625</xdr:colOff>
      <xdr:row>0</xdr:row>
      <xdr:rowOff>47625</xdr:rowOff>
    </xdr:from>
    <xdr:to>
      <xdr:col>0</xdr:col>
      <xdr:colOff>803625</xdr:colOff>
      <xdr:row>0</xdr:row>
      <xdr:rowOff>299625</xdr:rowOff>
    </xdr:to>
    <xdr:sp macro="[0]!goIndex" textlink="">
      <xdr:nvSpPr>
        <xdr:cNvPr id="5" name="TextBox 4"/>
        <xdr:cNvSpPr txBox="1">
          <a:spLocks/>
        </xdr:cNvSpPr>
      </xdr:nvSpPr>
      <xdr:spPr>
        <a:xfrm>
          <a:off x="47625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返回菜单</a:t>
          </a:r>
        </a:p>
      </xdr:txBody>
    </xdr:sp>
    <xdr:clientData fPrintsWithSheet="0"/>
  </xdr:twoCellAnchor>
  <xdr:twoCellAnchor editAs="absolute">
    <xdr:from>
      <xdr:col>0</xdr:col>
      <xdr:colOff>876300</xdr:colOff>
      <xdr:row>0</xdr:row>
      <xdr:rowOff>47625</xdr:rowOff>
    </xdr:from>
    <xdr:to>
      <xdr:col>1</xdr:col>
      <xdr:colOff>746475</xdr:colOff>
      <xdr:row>0</xdr:row>
      <xdr:rowOff>299625</xdr:rowOff>
    </xdr:to>
    <xdr:sp macro="[0]!SanLan_ShuaXin" textlink="">
      <xdr:nvSpPr>
        <xdr:cNvPr id="7" name="TextBox 6"/>
        <xdr:cNvSpPr txBox="1">
          <a:spLocks/>
        </xdr:cNvSpPr>
      </xdr:nvSpPr>
      <xdr:spPr>
        <a:xfrm>
          <a:off x="876300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rtl="0"/>
          <a:r>
            <a:rPr lang="zh-CN" altLang="en-US">
              <a:solidFill>
                <a:schemeClr val="bg1"/>
              </a:solidFill>
              <a:effectLst/>
            </a:rPr>
            <a:t>查询账目</a:t>
          </a:r>
          <a:endParaRPr lang="zh-CN" altLang="zh-CN">
            <a:solidFill>
              <a:schemeClr val="bg1"/>
            </a:solidFill>
            <a:effectLst/>
          </a:endParaRPr>
        </a:p>
      </xdr:txBody>
    </xdr:sp>
    <xdr:clientData fPrintsWithSheet="0"/>
  </xdr:twoCellAnchor>
  <xdr:twoCellAnchor editAs="absolute">
    <xdr:from>
      <xdr:col>1</xdr:col>
      <xdr:colOff>819150</xdr:colOff>
      <xdr:row>0</xdr:row>
      <xdr:rowOff>47625</xdr:rowOff>
    </xdr:from>
    <xdr:to>
      <xdr:col>2</xdr:col>
      <xdr:colOff>603600</xdr:colOff>
      <xdr:row>0</xdr:row>
      <xdr:rowOff>299625</xdr:rowOff>
    </xdr:to>
    <xdr:sp macro="[0]!SanLan_QingKong" textlink="">
      <xdr:nvSpPr>
        <xdr:cNvPr id="8" name="TextBox 7"/>
        <xdr:cNvSpPr txBox="1">
          <a:spLocks/>
        </xdr:cNvSpPr>
      </xdr:nvSpPr>
      <xdr:spPr>
        <a:xfrm>
          <a:off x="1704975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5080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清空界面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18435" name="Rectangle 3"/>
        <xdr:cNvSpPr>
          <a:spLocks noChangeArrowheads="1"/>
        </xdr:cNvSpPr>
      </xdr:nvSpPr>
      <xdr:spPr bwMode="auto">
        <a:xfrm>
          <a:off x="0" y="0"/>
          <a:ext cx="9220200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0" tIns="0" rIns="0" bIns="0" anchor="ctr" upright="1"/>
        <a:lstStyle/>
        <a:p>
          <a:pPr algn="l" rtl="0">
            <a:defRPr sz="1000"/>
          </a:pPr>
          <a:r>
            <a:rPr lang="zh-CN" altLang="en-US" sz="2400" b="1" i="0" u="none" strike="noStrike" baseline="0">
              <a:solidFill>
                <a:srgbClr val="333300"/>
              </a:solidFill>
              <a:latin typeface="宋体"/>
              <a:ea typeface="宋体"/>
            </a:rPr>
            <a:t>                 当 前 库 存 汇 总</a:t>
          </a:r>
        </a:p>
      </xdr:txBody>
    </xdr:sp>
    <xdr:clientData/>
  </xdr:twoCellAnchor>
  <xdr:twoCellAnchor editAs="absolute">
    <xdr:from>
      <xdr:col>0</xdr:col>
      <xdr:colOff>47625</xdr:colOff>
      <xdr:row>0</xdr:row>
      <xdr:rowOff>47625</xdr:rowOff>
    </xdr:from>
    <xdr:to>
      <xdr:col>1</xdr:col>
      <xdr:colOff>251175</xdr:colOff>
      <xdr:row>3</xdr:row>
      <xdr:rowOff>42450</xdr:rowOff>
    </xdr:to>
    <xdr:sp macro="[0]!goIndex" textlink="">
      <xdr:nvSpPr>
        <xdr:cNvPr id="11" name="TextBox 10"/>
        <xdr:cNvSpPr txBox="1">
          <a:spLocks/>
        </xdr:cNvSpPr>
      </xdr:nvSpPr>
      <xdr:spPr>
        <a:xfrm>
          <a:off x="47625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返回菜单</a:t>
          </a:r>
        </a:p>
      </xdr:txBody>
    </xdr:sp>
    <xdr:clientData fPrintsWithSheet="0"/>
  </xdr:twoCellAnchor>
  <xdr:twoCellAnchor editAs="absolute">
    <xdr:from>
      <xdr:col>1</xdr:col>
      <xdr:colOff>323850</xdr:colOff>
      <xdr:row>0</xdr:row>
      <xdr:rowOff>47625</xdr:rowOff>
    </xdr:from>
    <xdr:to>
      <xdr:col>2</xdr:col>
      <xdr:colOff>241650</xdr:colOff>
      <xdr:row>3</xdr:row>
      <xdr:rowOff>42450</xdr:rowOff>
    </xdr:to>
    <xdr:sp macro="[0]!KuCun_ShuaXin" textlink="">
      <xdr:nvSpPr>
        <xdr:cNvPr id="12" name="TextBox 11"/>
        <xdr:cNvSpPr txBox="1">
          <a:spLocks/>
        </xdr:cNvSpPr>
      </xdr:nvSpPr>
      <xdr:spPr>
        <a:xfrm>
          <a:off x="876300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rtl="0"/>
          <a:r>
            <a:rPr lang="zh-CN" altLang="en-US">
              <a:solidFill>
                <a:schemeClr val="bg1"/>
              </a:solidFill>
              <a:effectLst/>
            </a:rPr>
            <a:t>刷新账目</a:t>
          </a:r>
          <a:endParaRPr lang="zh-CN" altLang="zh-CN">
            <a:solidFill>
              <a:schemeClr val="bg1"/>
            </a:solidFill>
            <a:effectLst/>
          </a:endParaRP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0</xdr:colOff>
      <xdr:row>2</xdr:row>
      <xdr:rowOff>0</xdr:rowOff>
    </xdr:to>
    <xdr:sp macro="" textlink="">
      <xdr:nvSpPr>
        <xdr:cNvPr id="15405" name="Rectangle 45"/>
        <xdr:cNvSpPr>
          <a:spLocks noChangeArrowheads="1"/>
        </xdr:cNvSpPr>
      </xdr:nvSpPr>
      <xdr:spPr bwMode="auto">
        <a:xfrm>
          <a:off x="0" y="0"/>
          <a:ext cx="9277350" cy="361950"/>
        </a:xfrm>
        <a:prstGeom prst="rect">
          <a:avLst/>
        </a:prstGeom>
        <a:solidFill>
          <a:srgbClr val="C0C0C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54864" tIns="0" rIns="54864" bIns="0" anchor="t" upright="1"/>
        <a:lstStyle/>
        <a:p>
          <a:pPr algn="ctr" rtl="0">
            <a:defRPr sz="1000"/>
          </a:pPr>
          <a:r>
            <a:rPr lang="zh-CN" altLang="en-US" sz="2400" b="1" i="0" u="none" strike="noStrike" baseline="0">
              <a:solidFill>
                <a:srgbClr val="333300"/>
              </a:solidFill>
              <a:latin typeface="宋体"/>
              <a:ea typeface="宋体"/>
            </a:rPr>
            <a:t>进 销 存 报 表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57150</xdr:rowOff>
    </xdr:from>
    <xdr:to>
      <xdr:col>1</xdr:col>
      <xdr:colOff>51150</xdr:colOff>
      <xdr:row>1</xdr:row>
      <xdr:rowOff>137700</xdr:rowOff>
    </xdr:to>
    <xdr:sp macro="[0]!goIndex" textlink="">
      <xdr:nvSpPr>
        <xdr:cNvPr id="6" name="TextBox 5"/>
        <xdr:cNvSpPr txBox="1">
          <a:spLocks/>
        </xdr:cNvSpPr>
      </xdr:nvSpPr>
      <xdr:spPr>
        <a:xfrm>
          <a:off x="57150" y="57150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4445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返回菜单</a:t>
          </a:r>
        </a:p>
      </xdr:txBody>
    </xdr:sp>
    <xdr:clientData fPrintsWithSheet="0"/>
  </xdr:twoCellAnchor>
  <xdr:twoCellAnchor editAs="absolute">
    <xdr:from>
      <xdr:col>1</xdr:col>
      <xdr:colOff>123825</xdr:colOff>
      <xdr:row>0</xdr:row>
      <xdr:rowOff>57150</xdr:rowOff>
    </xdr:from>
    <xdr:to>
      <xdr:col>2</xdr:col>
      <xdr:colOff>32100</xdr:colOff>
      <xdr:row>1</xdr:row>
      <xdr:rowOff>137700</xdr:rowOff>
    </xdr:to>
    <xdr:sp macro="[0]!JinXiao_TongJi" textlink="">
      <xdr:nvSpPr>
        <xdr:cNvPr id="7" name="TextBox 6"/>
        <xdr:cNvSpPr txBox="1">
          <a:spLocks/>
        </xdr:cNvSpPr>
      </xdr:nvSpPr>
      <xdr:spPr>
        <a:xfrm>
          <a:off x="885825" y="57150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5080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统计报表</a:t>
          </a:r>
        </a:p>
      </xdr:txBody>
    </xdr:sp>
    <xdr:clientData fPrintsWithSheet="0"/>
  </xdr:twoCellAnchor>
  <xdr:twoCellAnchor editAs="absolute">
    <xdr:from>
      <xdr:col>2</xdr:col>
      <xdr:colOff>104775</xdr:colOff>
      <xdr:row>0</xdr:row>
      <xdr:rowOff>57150</xdr:rowOff>
    </xdr:from>
    <xdr:to>
      <xdr:col>3</xdr:col>
      <xdr:colOff>98775</xdr:colOff>
      <xdr:row>1</xdr:row>
      <xdr:rowOff>137700</xdr:rowOff>
    </xdr:to>
    <xdr:sp macro="[0]!ffcdd" textlink="">
      <xdr:nvSpPr>
        <xdr:cNvPr id="8" name="TextBox 7"/>
        <xdr:cNvSpPr txBox="1">
          <a:spLocks/>
        </xdr:cNvSpPr>
      </xdr:nvSpPr>
      <xdr:spPr>
        <a:xfrm>
          <a:off x="1714500" y="57150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5080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清空界面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0</xdr:colOff>
      <xdr:row>1</xdr:row>
      <xdr:rowOff>0</xdr:rowOff>
    </xdr:to>
    <xdr:sp macro="" textlink="">
      <xdr:nvSpPr>
        <xdr:cNvPr id="17413" name="Rectangle 5"/>
        <xdr:cNvSpPr>
          <a:spLocks noChangeArrowheads="1"/>
        </xdr:cNvSpPr>
      </xdr:nvSpPr>
      <xdr:spPr bwMode="auto">
        <a:xfrm>
          <a:off x="0" y="0"/>
          <a:ext cx="13430250" cy="514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54864" tIns="0" rIns="0" bIns="0" anchor="t" upright="1"/>
        <a:lstStyle/>
        <a:p>
          <a:pPr algn="l" rtl="0">
            <a:defRPr sz="1000"/>
          </a:pPr>
          <a:r>
            <a:rPr lang="zh-CN" altLang="en-US" sz="2400" b="1" i="0" u="none" strike="noStrike" baseline="0">
              <a:solidFill>
                <a:srgbClr val="333300"/>
              </a:solidFill>
              <a:latin typeface="宋体"/>
              <a:ea typeface="宋体"/>
            </a:rPr>
            <a:t>                     单 品 进 出 查 询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47625</xdr:rowOff>
    </xdr:from>
    <xdr:to>
      <xdr:col>1</xdr:col>
      <xdr:colOff>394050</xdr:colOff>
      <xdr:row>0</xdr:row>
      <xdr:rowOff>299625</xdr:rowOff>
    </xdr:to>
    <xdr:sp macro="[0]!goIndex" textlink="">
      <xdr:nvSpPr>
        <xdr:cNvPr id="6" name="TextBox 5"/>
        <xdr:cNvSpPr txBox="1">
          <a:spLocks/>
        </xdr:cNvSpPr>
      </xdr:nvSpPr>
      <xdr:spPr>
        <a:xfrm>
          <a:off x="57150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4445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返回菜单</a:t>
          </a:r>
        </a:p>
      </xdr:txBody>
    </xdr:sp>
    <xdr:clientData fPrintsWithSheet="0"/>
  </xdr:twoCellAnchor>
  <xdr:twoCellAnchor editAs="absolute">
    <xdr:from>
      <xdr:col>1</xdr:col>
      <xdr:colOff>466725</xdr:colOff>
      <xdr:row>0</xdr:row>
      <xdr:rowOff>47625</xdr:rowOff>
    </xdr:from>
    <xdr:to>
      <xdr:col>2</xdr:col>
      <xdr:colOff>536925</xdr:colOff>
      <xdr:row>0</xdr:row>
      <xdr:rowOff>299625</xdr:rowOff>
    </xdr:to>
    <xdr:sp macro="[0]!DanPin_ChaRun" textlink="">
      <xdr:nvSpPr>
        <xdr:cNvPr id="7" name="TextBox 6"/>
        <xdr:cNvSpPr txBox="1">
          <a:spLocks/>
        </xdr:cNvSpPr>
      </xdr:nvSpPr>
      <xdr:spPr>
        <a:xfrm>
          <a:off x="885825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5080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查询明细</a:t>
          </a:r>
        </a:p>
      </xdr:txBody>
    </xdr:sp>
    <xdr:clientData fPrintsWithSheet="0"/>
  </xdr:twoCellAnchor>
  <xdr:twoCellAnchor editAs="absolute">
    <xdr:from>
      <xdr:col>2</xdr:col>
      <xdr:colOff>609600</xdr:colOff>
      <xdr:row>0</xdr:row>
      <xdr:rowOff>47625</xdr:rowOff>
    </xdr:from>
    <xdr:to>
      <xdr:col>4</xdr:col>
      <xdr:colOff>279750</xdr:colOff>
      <xdr:row>0</xdr:row>
      <xdr:rowOff>299625</xdr:rowOff>
    </xdr:to>
    <xdr:sp macro="[0]!DanPin_QingKong" textlink="">
      <xdr:nvSpPr>
        <xdr:cNvPr id="8" name="TextBox 7"/>
        <xdr:cNvSpPr txBox="1">
          <a:spLocks/>
        </xdr:cNvSpPr>
      </xdr:nvSpPr>
      <xdr:spPr>
        <a:xfrm>
          <a:off x="1714500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5080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清空界面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0</xdr:colOff>
      <xdr:row>1</xdr:row>
      <xdr:rowOff>0</xdr:rowOff>
    </xdr:to>
    <xdr:sp macro="" textlink="">
      <xdr:nvSpPr>
        <xdr:cNvPr id="15" name="Rectangle 5"/>
        <xdr:cNvSpPr>
          <a:spLocks noChangeArrowheads="1"/>
        </xdr:cNvSpPr>
      </xdr:nvSpPr>
      <xdr:spPr bwMode="auto">
        <a:xfrm>
          <a:off x="0" y="0"/>
          <a:ext cx="10563225" cy="3524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54864" tIns="0" rIns="0" bIns="0" anchor="t" upright="1"/>
        <a:lstStyle/>
        <a:p>
          <a:pPr algn="l" rtl="0">
            <a:defRPr sz="1000"/>
          </a:pPr>
          <a:r>
            <a:rPr lang="zh-CN" altLang="en-US" sz="2400" b="1" i="0" u="none" strike="noStrike" baseline="0">
              <a:solidFill>
                <a:srgbClr val="333300"/>
              </a:solidFill>
              <a:latin typeface="宋体"/>
              <a:ea typeface="宋体"/>
            </a:rPr>
            <a:t>                     进 出 明 细 查 询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47625</xdr:rowOff>
    </xdr:from>
    <xdr:to>
      <xdr:col>1</xdr:col>
      <xdr:colOff>127350</xdr:colOff>
      <xdr:row>0</xdr:row>
      <xdr:rowOff>299625</xdr:rowOff>
    </xdr:to>
    <xdr:sp macro="[0]!goIndex" textlink="">
      <xdr:nvSpPr>
        <xdr:cNvPr id="20" name="TextBox 19"/>
        <xdr:cNvSpPr txBox="1">
          <a:spLocks/>
        </xdr:cNvSpPr>
      </xdr:nvSpPr>
      <xdr:spPr>
        <a:xfrm>
          <a:off x="57150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2860" dir="5400000" algn="ctr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4445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返回菜单</a:t>
          </a:r>
        </a:p>
      </xdr:txBody>
    </xdr:sp>
    <xdr:clientData fPrintsWithSheet="0"/>
  </xdr:twoCellAnchor>
  <xdr:twoCellAnchor editAs="absolute">
    <xdr:from>
      <xdr:col>1</xdr:col>
      <xdr:colOff>200025</xdr:colOff>
      <xdr:row>0</xdr:row>
      <xdr:rowOff>47625</xdr:rowOff>
    </xdr:from>
    <xdr:to>
      <xdr:col>2</xdr:col>
      <xdr:colOff>194025</xdr:colOff>
      <xdr:row>0</xdr:row>
      <xdr:rowOff>299625</xdr:rowOff>
    </xdr:to>
    <xdr:sp macro="[0]!GaoJi_ChaRun" textlink="">
      <xdr:nvSpPr>
        <xdr:cNvPr id="28" name="TextBox 27"/>
        <xdr:cNvSpPr txBox="1">
          <a:spLocks/>
        </xdr:cNvSpPr>
      </xdr:nvSpPr>
      <xdr:spPr>
        <a:xfrm>
          <a:off x="885825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2860" dir="5400000" algn="ctr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5080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查询明细</a:t>
          </a:r>
        </a:p>
      </xdr:txBody>
    </xdr:sp>
    <xdr:clientData fPrintsWithSheet="0"/>
  </xdr:twoCellAnchor>
  <xdr:twoCellAnchor editAs="absolute">
    <xdr:from>
      <xdr:col>2</xdr:col>
      <xdr:colOff>266700</xdr:colOff>
      <xdr:row>0</xdr:row>
      <xdr:rowOff>47625</xdr:rowOff>
    </xdr:from>
    <xdr:to>
      <xdr:col>3</xdr:col>
      <xdr:colOff>336900</xdr:colOff>
      <xdr:row>0</xdr:row>
      <xdr:rowOff>299625</xdr:rowOff>
    </xdr:to>
    <xdr:sp macro="[0]!GaoJi_QingKong" textlink="">
      <xdr:nvSpPr>
        <xdr:cNvPr id="29" name="TextBox 28"/>
        <xdr:cNvSpPr txBox="1">
          <a:spLocks/>
        </xdr:cNvSpPr>
      </xdr:nvSpPr>
      <xdr:spPr>
        <a:xfrm>
          <a:off x="1714500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2860" dir="5400000" algn="ctr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5080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清空界面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" textlink="">
      <xdr:nvSpPr>
        <xdr:cNvPr id="13315" name="Rectangle 3"/>
        <xdr:cNvSpPr>
          <a:spLocks noChangeArrowheads="1"/>
        </xdr:cNvSpPr>
      </xdr:nvSpPr>
      <xdr:spPr bwMode="auto">
        <a:xfrm>
          <a:off x="0" y="0"/>
          <a:ext cx="6581775" cy="371475"/>
        </a:xfrm>
        <a:prstGeom prst="rect">
          <a:avLst/>
        </a:prstGeom>
        <a:solidFill>
          <a:srgbClr val="C0C0C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zh-CN" altLang="en-US" sz="2400" b="1" i="0" u="none" strike="noStrike" baseline="0">
              <a:solidFill>
                <a:srgbClr val="333300"/>
              </a:solidFill>
              <a:latin typeface="宋体"/>
              <a:ea typeface="宋体"/>
            </a:rPr>
            <a:t>货物列表</a:t>
          </a:r>
        </a:p>
      </xdr:txBody>
    </xdr:sp>
    <xdr:clientData/>
  </xdr:twoCellAnchor>
  <xdr:twoCellAnchor>
    <xdr:from>
      <xdr:col>15</xdr:col>
      <xdr:colOff>1</xdr:colOff>
      <xdr:row>0</xdr:row>
      <xdr:rowOff>0</xdr:rowOff>
    </xdr:from>
    <xdr:to>
      <xdr:col>22</xdr:col>
      <xdr:colOff>0</xdr:colOff>
      <xdr:row>3</xdr:row>
      <xdr:rowOff>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8001001" y="0"/>
          <a:ext cx="6076950" cy="371475"/>
        </a:xfrm>
        <a:prstGeom prst="rect">
          <a:avLst/>
        </a:prstGeom>
        <a:solidFill>
          <a:srgbClr val="C0C0C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zh-CN" altLang="en-US" sz="2400" b="1" i="0" u="none" strike="noStrike" baseline="0">
              <a:solidFill>
                <a:srgbClr val="333300"/>
              </a:solidFill>
              <a:latin typeface="宋体"/>
              <a:ea typeface="宋体"/>
            </a:rPr>
            <a:t>基础信息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57150</xdr:rowOff>
    </xdr:from>
    <xdr:to>
      <xdr:col>1</xdr:col>
      <xdr:colOff>394050</xdr:colOff>
      <xdr:row>2</xdr:row>
      <xdr:rowOff>80550</xdr:rowOff>
    </xdr:to>
    <xdr:sp macro="[0]!goIndex" textlink="">
      <xdr:nvSpPr>
        <xdr:cNvPr id="9" name="TextBox 8"/>
        <xdr:cNvSpPr txBox="1">
          <a:spLocks/>
        </xdr:cNvSpPr>
      </xdr:nvSpPr>
      <xdr:spPr>
        <a:xfrm>
          <a:off x="57150" y="57150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返回菜单</a:t>
          </a:r>
        </a:p>
      </xdr:txBody>
    </xdr:sp>
    <xdr:clientData fPrintsWithSheet="0"/>
  </xdr:twoCellAnchor>
  <xdr:twoCellAnchor editAs="absolute">
    <xdr:from>
      <xdr:col>1</xdr:col>
      <xdr:colOff>466725</xdr:colOff>
      <xdr:row>0</xdr:row>
      <xdr:rowOff>57150</xdr:rowOff>
    </xdr:from>
    <xdr:to>
      <xdr:col>2</xdr:col>
      <xdr:colOff>460725</xdr:colOff>
      <xdr:row>2</xdr:row>
      <xdr:rowOff>80550</xdr:rowOff>
    </xdr:to>
    <xdr:sp macro="[0]!shaiZiLiao" textlink="">
      <xdr:nvSpPr>
        <xdr:cNvPr id="10" name="TextBox 9"/>
        <xdr:cNvSpPr txBox="1">
          <a:spLocks/>
        </xdr:cNvSpPr>
      </xdr:nvSpPr>
      <xdr:spPr>
        <a:xfrm>
          <a:off x="885825" y="57150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rtl="0"/>
          <a:r>
            <a:rPr lang="zh-CN" altLang="zh-CN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启用筛选</a:t>
          </a:r>
          <a:endParaRPr lang="zh-CN" altLang="zh-CN">
            <a:solidFill>
              <a:schemeClr val="bg1"/>
            </a:solidFill>
            <a:effectLst/>
          </a:endParaRPr>
        </a:p>
      </xdr:txBody>
    </xdr:sp>
    <xdr:clientData fPrintsWithSheet="0"/>
  </xdr:twoCellAnchor>
  <xdr:twoCellAnchor editAs="absolute">
    <xdr:from>
      <xdr:col>2</xdr:col>
      <xdr:colOff>523875</xdr:colOff>
      <xdr:row>0</xdr:row>
      <xdr:rowOff>57150</xdr:rowOff>
    </xdr:from>
    <xdr:to>
      <xdr:col>4</xdr:col>
      <xdr:colOff>194025</xdr:colOff>
      <xdr:row>2</xdr:row>
      <xdr:rowOff>80550</xdr:rowOff>
    </xdr:to>
    <xdr:sp macro="[0]!JianChaChongFu" textlink="">
      <xdr:nvSpPr>
        <xdr:cNvPr id="11" name="TextBox 10"/>
        <xdr:cNvSpPr txBox="1">
          <a:spLocks/>
        </xdr:cNvSpPr>
      </xdr:nvSpPr>
      <xdr:spPr>
        <a:xfrm>
          <a:off x="1704975" y="57150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rtl="0"/>
          <a:r>
            <a:rPr lang="zh-CN" altLang="en-US">
              <a:solidFill>
                <a:schemeClr val="bg1"/>
              </a:solidFill>
              <a:effectLst/>
            </a:rPr>
            <a:t>检查编号</a:t>
          </a:r>
          <a:endParaRPr lang="zh-CN" altLang="zh-CN">
            <a:solidFill>
              <a:schemeClr val="bg1"/>
            </a:solidFill>
            <a:effectLst/>
          </a:endParaRPr>
        </a:p>
      </xdr:txBody>
    </xdr:sp>
    <xdr:clientData fPrintsWithSheet="0"/>
  </xdr:twoCellAnchor>
  <xdr:twoCellAnchor editAs="oneCell">
    <xdr:from>
      <xdr:col>15</xdr:col>
      <xdr:colOff>66675</xdr:colOff>
      <xdr:row>0</xdr:row>
      <xdr:rowOff>57150</xdr:rowOff>
    </xdr:from>
    <xdr:to>
      <xdr:col>15</xdr:col>
      <xdr:colOff>822675</xdr:colOff>
      <xdr:row>2</xdr:row>
      <xdr:rowOff>80550</xdr:rowOff>
    </xdr:to>
    <xdr:sp macro="[0]!goIndex" textlink="">
      <xdr:nvSpPr>
        <xdr:cNvPr id="12" name="TextBox 11"/>
        <xdr:cNvSpPr txBox="1">
          <a:spLocks/>
        </xdr:cNvSpPr>
      </xdr:nvSpPr>
      <xdr:spPr>
        <a:xfrm>
          <a:off x="6743700" y="57150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返回菜单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1</xdr:row>
      <xdr:rowOff>0</xdr:rowOff>
    </xdr:to>
    <xdr:sp macro="" textlink="">
      <xdr:nvSpPr>
        <xdr:cNvPr id="2" name="Rectangle 5"/>
        <xdr:cNvSpPr>
          <a:spLocks noChangeArrowheads="1"/>
        </xdr:cNvSpPr>
      </xdr:nvSpPr>
      <xdr:spPr bwMode="auto">
        <a:xfrm>
          <a:off x="0" y="0"/>
          <a:ext cx="7667625" cy="361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54864" tIns="0" rIns="0" bIns="0" anchor="t" upright="1"/>
        <a:lstStyle/>
        <a:p>
          <a:pPr algn="l" rtl="0">
            <a:defRPr sz="1000"/>
          </a:pPr>
          <a:r>
            <a:rPr lang="zh-CN" altLang="en-US" sz="2400" b="1" i="0" u="none" strike="noStrike" baseline="0">
              <a:solidFill>
                <a:srgbClr val="333300"/>
              </a:solidFill>
              <a:latin typeface="宋体"/>
              <a:ea typeface="宋体"/>
            </a:rPr>
            <a:t>                   进 出 汇 总 统 计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47625</xdr:rowOff>
    </xdr:from>
    <xdr:to>
      <xdr:col>1</xdr:col>
      <xdr:colOff>127350</xdr:colOff>
      <xdr:row>0</xdr:row>
      <xdr:rowOff>299625</xdr:rowOff>
    </xdr:to>
    <xdr:sp macro="[0]!goIndex" textlink="">
      <xdr:nvSpPr>
        <xdr:cNvPr id="3" name="TextBox 5"/>
        <xdr:cNvSpPr txBox="1">
          <a:spLocks/>
        </xdr:cNvSpPr>
      </xdr:nvSpPr>
      <xdr:spPr>
        <a:xfrm>
          <a:off x="57150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4445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返回菜单</a:t>
          </a:r>
        </a:p>
      </xdr:txBody>
    </xdr:sp>
    <xdr:clientData fPrintsWithSheet="0"/>
  </xdr:twoCellAnchor>
  <xdr:twoCellAnchor editAs="absolute">
    <xdr:from>
      <xdr:col>1</xdr:col>
      <xdr:colOff>200025</xdr:colOff>
      <xdr:row>0</xdr:row>
      <xdr:rowOff>47625</xdr:rowOff>
    </xdr:from>
    <xdr:to>
      <xdr:col>2</xdr:col>
      <xdr:colOff>194025</xdr:colOff>
      <xdr:row>0</xdr:row>
      <xdr:rowOff>299625</xdr:rowOff>
    </xdr:to>
    <xdr:sp macro="[0]!JinChu_ChaXun" textlink="">
      <xdr:nvSpPr>
        <xdr:cNvPr id="4" name="TextBox 6"/>
        <xdr:cNvSpPr txBox="1">
          <a:spLocks/>
        </xdr:cNvSpPr>
      </xdr:nvSpPr>
      <xdr:spPr>
        <a:xfrm>
          <a:off x="885825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rtl="0"/>
          <a:r>
            <a:rPr lang="zh-CN" altLang="en-US">
              <a:solidFill>
                <a:schemeClr val="bg1"/>
              </a:solidFill>
              <a:effectLst/>
            </a:rPr>
            <a:t>查询统计</a:t>
          </a:r>
          <a:endParaRPr lang="zh-CN" altLang="zh-CN">
            <a:solidFill>
              <a:schemeClr val="bg1"/>
            </a:solidFill>
            <a:effectLst/>
          </a:endParaRPr>
        </a:p>
      </xdr:txBody>
    </xdr:sp>
    <xdr:clientData fPrintsWithSheet="0"/>
  </xdr:twoCellAnchor>
  <xdr:twoCellAnchor editAs="absolute">
    <xdr:from>
      <xdr:col>2</xdr:col>
      <xdr:colOff>257175</xdr:colOff>
      <xdr:row>0</xdr:row>
      <xdr:rowOff>47625</xdr:rowOff>
    </xdr:from>
    <xdr:to>
      <xdr:col>3</xdr:col>
      <xdr:colOff>327375</xdr:colOff>
      <xdr:row>0</xdr:row>
      <xdr:rowOff>299625</xdr:rowOff>
    </xdr:to>
    <xdr:sp macro="[0]!JinChu_QingKong" textlink="">
      <xdr:nvSpPr>
        <xdr:cNvPr id="5" name="TextBox 7"/>
        <xdr:cNvSpPr txBox="1">
          <a:spLocks/>
        </xdr:cNvSpPr>
      </xdr:nvSpPr>
      <xdr:spPr>
        <a:xfrm>
          <a:off x="1704975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5080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清空界面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2" name="Rectangle 5"/>
        <xdr:cNvSpPr>
          <a:spLocks noChangeArrowheads="1"/>
        </xdr:cNvSpPr>
      </xdr:nvSpPr>
      <xdr:spPr bwMode="auto">
        <a:xfrm>
          <a:off x="0" y="0"/>
          <a:ext cx="9896475" cy="361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54864" tIns="0" rIns="0" bIns="0" anchor="t" upright="1"/>
        <a:lstStyle/>
        <a:p>
          <a:pPr algn="l" rtl="0">
            <a:defRPr sz="1000"/>
          </a:pPr>
          <a:r>
            <a:rPr lang="zh-CN" altLang="en-US" sz="2400" b="1" i="0" u="none" strike="noStrike" baseline="0">
              <a:solidFill>
                <a:srgbClr val="333300"/>
              </a:solidFill>
              <a:latin typeface="宋体"/>
              <a:ea typeface="宋体"/>
            </a:rPr>
            <a:t>                  历 史 单 据 查 询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47625</xdr:rowOff>
    </xdr:from>
    <xdr:to>
      <xdr:col>1</xdr:col>
      <xdr:colOff>127350</xdr:colOff>
      <xdr:row>0</xdr:row>
      <xdr:rowOff>299625</xdr:rowOff>
    </xdr:to>
    <xdr:sp macro="[0]!goIndex" textlink="">
      <xdr:nvSpPr>
        <xdr:cNvPr id="3" name="TextBox 5"/>
        <xdr:cNvSpPr txBox="1">
          <a:spLocks/>
        </xdr:cNvSpPr>
      </xdr:nvSpPr>
      <xdr:spPr>
        <a:xfrm>
          <a:off x="57150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4445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返回菜单</a:t>
          </a:r>
        </a:p>
      </xdr:txBody>
    </xdr:sp>
    <xdr:clientData fPrintsWithSheet="0"/>
  </xdr:twoCellAnchor>
  <xdr:twoCellAnchor editAs="absolute">
    <xdr:from>
      <xdr:col>1</xdr:col>
      <xdr:colOff>200025</xdr:colOff>
      <xdr:row>0</xdr:row>
      <xdr:rowOff>47625</xdr:rowOff>
    </xdr:from>
    <xdr:to>
      <xdr:col>1</xdr:col>
      <xdr:colOff>956025</xdr:colOff>
      <xdr:row>0</xdr:row>
      <xdr:rowOff>299625</xdr:rowOff>
    </xdr:to>
    <xdr:sp macro="[0]!DanCha_ChaXun" textlink="">
      <xdr:nvSpPr>
        <xdr:cNvPr id="6" name="TextBox 6"/>
        <xdr:cNvSpPr txBox="1">
          <a:spLocks/>
        </xdr:cNvSpPr>
      </xdr:nvSpPr>
      <xdr:spPr>
        <a:xfrm>
          <a:off x="885825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rtl="0"/>
          <a:r>
            <a:rPr lang="zh-CN" altLang="en-US">
              <a:solidFill>
                <a:schemeClr val="bg1"/>
              </a:solidFill>
              <a:effectLst/>
            </a:rPr>
            <a:t>查询单据</a:t>
          </a:r>
          <a:endParaRPr lang="zh-CN" altLang="zh-CN">
            <a:solidFill>
              <a:schemeClr val="bg1"/>
            </a:solidFill>
            <a:effectLst/>
          </a:endParaRPr>
        </a:p>
      </xdr:txBody>
    </xdr:sp>
    <xdr:clientData fPrintsWithSheet="0"/>
  </xdr:twoCellAnchor>
  <xdr:twoCellAnchor editAs="absolute">
    <xdr:from>
      <xdr:col>2</xdr:col>
      <xdr:colOff>47625</xdr:colOff>
      <xdr:row>0</xdr:row>
      <xdr:rowOff>47625</xdr:rowOff>
    </xdr:from>
    <xdr:to>
      <xdr:col>2</xdr:col>
      <xdr:colOff>803625</xdr:colOff>
      <xdr:row>0</xdr:row>
      <xdr:rowOff>299625</xdr:rowOff>
    </xdr:to>
    <xdr:sp macro="[0]!DanCha_QingKong" textlink="">
      <xdr:nvSpPr>
        <xdr:cNvPr id="7" name="TextBox 7"/>
        <xdr:cNvSpPr txBox="1">
          <a:spLocks/>
        </xdr:cNvSpPr>
      </xdr:nvSpPr>
      <xdr:spPr>
        <a:xfrm>
          <a:off x="1704975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5080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清空界面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 vertOverflow="clip" wrap="square" lIns="36576" tIns="36576" rIns="36576" bIns="0" anchor="t" upright="1"/>
      <a:lstStyle>
        <a:defPPr algn="ctr" rtl="0">
          <a:defRPr sz="1600" b="0" i="0" u="none" strike="noStrike" baseline="0">
            <a:solidFill>
              <a:srgbClr val="0000FF"/>
            </a:solidFill>
            <a:latin typeface="华文行楷"/>
            <a:ea typeface="华文行楷"/>
          </a:defRPr>
        </a:defPPr>
      </a:lst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image" Target="../media/image19.png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19.png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indexed="40"/>
    <pageSetUpPr autoPageBreaks="0"/>
  </sheetPr>
  <dimension ref="A1:K125"/>
  <sheetViews>
    <sheetView showGridLines="0" showRowColHeaders="0" showZeros="0" tabSelected="1" workbookViewId="0">
      <selection activeCell="M10" sqref="M10"/>
    </sheetView>
  </sheetViews>
  <sheetFormatPr defaultRowHeight="14.25"/>
  <cols>
    <col min="1" max="1" width="9.25" style="2" customWidth="1"/>
    <col min="2" max="2" width="9" style="3"/>
    <col min="3" max="10" width="7.75" style="3" customWidth="1"/>
    <col min="11" max="16384" width="9" style="3"/>
  </cols>
  <sheetData>
    <row r="1" spans="1:1" ht="15" customHeight="1"/>
    <row r="2" spans="1:1" ht="15" customHeight="1"/>
    <row r="3" spans="1:1" ht="15" customHeight="1"/>
    <row r="4" spans="1:1" ht="12" customHeight="1"/>
    <row r="5" spans="1:1" ht="9.75" customHeight="1"/>
    <row r="6" spans="1:1" s="4" customFormat="1" ht="5.25" customHeight="1">
      <c r="A6" s="154" t="s">
        <v>40</v>
      </c>
    </row>
    <row r="7" spans="1:1" s="4" customFormat="1" ht="18.75" customHeight="1">
      <c r="A7" s="154"/>
    </row>
    <row r="8" spans="1:1" s="4" customFormat="1" ht="20.100000000000001" customHeight="1">
      <c r="A8" s="154"/>
    </row>
    <row r="9" spans="1:1" s="4" customFormat="1" ht="20.100000000000001" customHeight="1">
      <c r="A9" s="154"/>
    </row>
    <row r="10" spans="1:1" s="4" customFormat="1" ht="20.100000000000001" customHeight="1">
      <c r="A10" s="154"/>
    </row>
    <row r="11" spans="1:1" s="5" customFormat="1" ht="10.5" customHeight="1" thickBot="1">
      <c r="A11" s="154"/>
    </row>
    <row r="12" spans="1:1" s="4" customFormat="1" ht="5.25" customHeight="1" thickTop="1">
      <c r="A12" s="154"/>
    </row>
    <row r="13" spans="1:1" s="4" customFormat="1" ht="18.75" customHeight="1">
      <c r="A13" s="154"/>
    </row>
    <row r="14" spans="1:1" s="4" customFormat="1" ht="20.100000000000001" customHeight="1">
      <c r="A14" s="154"/>
    </row>
    <row r="15" spans="1:1" s="4" customFormat="1" ht="20.100000000000001" customHeight="1">
      <c r="A15" s="154"/>
    </row>
    <row r="16" spans="1:1" s="4" customFormat="1" ht="20.100000000000001" customHeight="1">
      <c r="A16" s="154"/>
    </row>
    <row r="17" spans="1:11" s="5" customFormat="1" ht="10.5" customHeight="1" thickBot="1">
      <c r="A17" s="154"/>
    </row>
    <row r="18" spans="1:11" s="4" customFormat="1" ht="5.25" customHeight="1" thickTop="1">
      <c r="A18" s="154"/>
    </row>
    <row r="19" spans="1:11" ht="18.75" customHeight="1">
      <c r="A19" s="154"/>
    </row>
    <row r="20" spans="1:11" ht="20.100000000000001" customHeight="1">
      <c r="A20" s="154"/>
    </row>
    <row r="21" spans="1:11" ht="20.100000000000001" customHeight="1">
      <c r="A21" s="154"/>
    </row>
    <row r="22" spans="1:11" ht="20.100000000000001" customHeight="1">
      <c r="A22" s="154"/>
    </row>
    <row r="23" spans="1:11" s="5" customFormat="1" ht="10.5" customHeight="1" thickBot="1">
      <c r="A23" s="154"/>
    </row>
    <row r="24" spans="1:11" ht="15" thickTop="1"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B26" s="19"/>
      <c r="C26" s="19"/>
      <c r="D26" s="19"/>
      <c r="E26" s="19"/>
      <c r="F26" s="19"/>
      <c r="G26" s="19"/>
      <c r="H26" s="19"/>
      <c r="I26" s="19"/>
      <c r="J26" s="19"/>
      <c r="K26" s="19"/>
    </row>
    <row r="29" spans="1:11">
      <c r="A29" s="7"/>
    </row>
    <row r="30" spans="1:11">
      <c r="A30" s="7"/>
    </row>
    <row r="108" spans="1:1">
      <c r="A108" s="8"/>
    </row>
    <row r="109" spans="1:1">
      <c r="A109" s="8"/>
    </row>
    <row r="110" spans="1:1">
      <c r="A110" s="8"/>
    </row>
    <row r="111" spans="1:1">
      <c r="A111" s="8"/>
    </row>
    <row r="112" spans="1:1">
      <c r="A112" s="8"/>
    </row>
    <row r="113" spans="1:1">
      <c r="A113" s="8"/>
    </row>
    <row r="114" spans="1:1">
      <c r="A114" s="8"/>
    </row>
    <row r="115" spans="1:1">
      <c r="A115" s="8"/>
    </row>
    <row r="116" spans="1:1">
      <c r="A116" s="8"/>
    </row>
    <row r="117" spans="1:1">
      <c r="A117" s="8"/>
    </row>
    <row r="118" spans="1:1">
      <c r="A118" s="8"/>
    </row>
    <row r="119" spans="1:1">
      <c r="A119" s="8"/>
    </row>
    <row r="120" spans="1:1">
      <c r="A120" s="8"/>
    </row>
    <row r="121" spans="1:1">
      <c r="A121" s="8"/>
    </row>
    <row r="122" spans="1:1">
      <c r="A122" s="8"/>
    </row>
    <row r="123" spans="1:1">
      <c r="A123" s="8"/>
    </row>
    <row r="124" spans="1:1">
      <c r="A124" s="8"/>
    </row>
    <row r="125" spans="1:1">
      <c r="A125" s="8"/>
    </row>
  </sheetData>
  <sheetProtection password="8048" sheet="1" objects="1" scenarios="1" selectLockedCells="1" selectUnlockedCells="1"/>
  <mergeCells count="1">
    <mergeCell ref="A6:A23"/>
  </mergeCells>
  <phoneticPr fontId="2" type="noConversion"/>
  <pageMargins left="0.75" right="0.75" top="1" bottom="1" header="0.5" footer="0.5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indexed="50"/>
  </sheetPr>
  <dimension ref="A1:N109"/>
  <sheetViews>
    <sheetView showGridLines="0" showOutlineSymbols="0" workbookViewId="0">
      <selection activeCell="D4" sqref="D4:E4"/>
    </sheetView>
  </sheetViews>
  <sheetFormatPr defaultColWidth="5.625" defaultRowHeight="18" customHeight="1"/>
  <cols>
    <col min="1" max="1" width="0.625" style="31" customWidth="1"/>
    <col min="2" max="2" width="3.875" style="103" customWidth="1"/>
    <col min="3" max="3" width="7.625" style="104" customWidth="1"/>
    <col min="4" max="4" width="12.625" style="103" customWidth="1"/>
    <col min="5" max="5" width="8.75" style="105" customWidth="1"/>
    <col min="6" max="6" width="4.5" style="103" bestFit="1" customWidth="1"/>
    <col min="7" max="7" width="5.5" style="103" customWidth="1"/>
    <col min="8" max="9" width="6.125" style="103" customWidth="1"/>
    <col min="10" max="10" width="9" style="103" bestFit="1" customWidth="1"/>
    <col min="11" max="11" width="9.75" style="103" bestFit="1" customWidth="1"/>
    <col min="12" max="12" width="0.75" style="21" customWidth="1"/>
    <col min="13" max="13" width="7.75" style="31" customWidth="1"/>
    <col min="14" max="14" width="7.75" style="21" customWidth="1"/>
    <col min="15" max="16384" width="5.625" style="21"/>
  </cols>
  <sheetData>
    <row r="1" spans="2:14" ht="18.75">
      <c r="B1" s="89"/>
      <c r="C1" s="89"/>
      <c r="D1" s="160" t="str">
        <f>IF(SysInfo!B25="","",SysInfo!B25)</f>
        <v>中国XXX股份集团有限公司</v>
      </c>
      <c r="E1" s="160"/>
      <c r="F1" s="160"/>
      <c r="G1" s="160"/>
      <c r="H1" s="160"/>
      <c r="I1" s="160"/>
      <c r="J1" s="89"/>
      <c r="K1" s="89"/>
      <c r="L1" s="33"/>
      <c r="M1" s="32"/>
      <c r="N1" s="20"/>
    </row>
    <row r="2" spans="2:14" ht="3" customHeight="1">
      <c r="B2" s="90"/>
      <c r="C2" s="90"/>
      <c r="D2" s="165" t="s">
        <v>122</v>
      </c>
      <c r="E2" s="165"/>
      <c r="F2" s="165"/>
      <c r="G2" s="165"/>
      <c r="H2" s="165"/>
      <c r="I2" s="165"/>
      <c r="J2" s="91"/>
      <c r="K2" s="92"/>
      <c r="L2" s="31"/>
      <c r="M2" s="32"/>
      <c r="N2" s="20"/>
    </row>
    <row r="3" spans="2:14" ht="17.100000000000001" customHeight="1">
      <c r="B3" s="90"/>
      <c r="C3" s="90"/>
      <c r="D3" s="165"/>
      <c r="E3" s="165"/>
      <c r="F3" s="165"/>
      <c r="G3" s="165"/>
      <c r="H3" s="165"/>
      <c r="I3" s="165"/>
      <c r="J3" s="106" t="s">
        <v>124</v>
      </c>
      <c r="K3" s="50" t="s">
        <v>249</v>
      </c>
      <c r="L3" s="31"/>
      <c r="M3" s="32"/>
      <c r="N3" s="20"/>
    </row>
    <row r="4" spans="2:14" ht="15" customHeight="1">
      <c r="B4" s="156" t="s">
        <v>127</v>
      </c>
      <c r="C4" s="157"/>
      <c r="D4" s="158" t="s">
        <v>41</v>
      </c>
      <c r="E4" s="158"/>
      <c r="F4" s="156" t="s">
        <v>123</v>
      </c>
      <c r="G4" s="157"/>
      <c r="H4" s="159" t="s">
        <v>41</v>
      </c>
      <c r="I4" s="159"/>
      <c r="J4" s="106" t="s">
        <v>125</v>
      </c>
      <c r="K4" s="51" t="s">
        <v>248</v>
      </c>
      <c r="L4" s="31"/>
      <c r="M4" s="32"/>
      <c r="N4" s="22"/>
    </row>
    <row r="5" spans="2:14" ht="18" customHeight="1">
      <c r="B5" s="93" t="s">
        <v>1</v>
      </c>
      <c r="C5" s="94" t="s">
        <v>4</v>
      </c>
      <c r="D5" s="93" t="s">
        <v>43</v>
      </c>
      <c r="E5" s="93" t="s">
        <v>44</v>
      </c>
      <c r="F5" s="93" t="s">
        <v>0</v>
      </c>
      <c r="G5" s="93" t="s">
        <v>2</v>
      </c>
      <c r="H5" s="93" t="s">
        <v>7</v>
      </c>
      <c r="I5" s="93" t="s">
        <v>3</v>
      </c>
      <c r="J5" s="93" t="s">
        <v>71</v>
      </c>
      <c r="K5" s="93" t="s">
        <v>42</v>
      </c>
      <c r="L5" s="31"/>
      <c r="M5" s="32"/>
      <c r="N5" s="23"/>
    </row>
    <row r="6" spans="2:14" ht="15.75" customHeight="1">
      <c r="B6" s="124">
        <v>1</v>
      </c>
      <c r="C6" s="41"/>
      <c r="D6" s="39"/>
      <c r="E6" s="39"/>
      <c r="F6" s="39"/>
      <c r="G6" s="66"/>
      <c r="H6" s="40"/>
      <c r="I6" s="66"/>
      <c r="J6" s="39"/>
      <c r="K6" s="41"/>
      <c r="L6" s="31"/>
      <c r="M6" s="32"/>
      <c r="N6" s="23"/>
    </row>
    <row r="7" spans="2:14" ht="15.75" customHeight="1">
      <c r="B7" s="124">
        <v>2</v>
      </c>
      <c r="C7" s="41"/>
      <c r="D7" s="39"/>
      <c r="E7" s="39"/>
      <c r="F7" s="39"/>
      <c r="G7" s="66"/>
      <c r="H7" s="40"/>
      <c r="I7" s="66"/>
      <c r="J7" s="39"/>
      <c r="K7" s="41"/>
      <c r="L7" s="31"/>
      <c r="M7" s="32"/>
      <c r="N7" s="23"/>
    </row>
    <row r="8" spans="2:14" ht="15.75" customHeight="1">
      <c r="B8" s="124">
        <v>3</v>
      </c>
      <c r="C8" s="41"/>
      <c r="D8" s="39"/>
      <c r="E8" s="39"/>
      <c r="F8" s="39"/>
      <c r="G8" s="66"/>
      <c r="H8" s="40"/>
      <c r="I8" s="66"/>
      <c r="J8" s="39"/>
      <c r="K8" s="41"/>
      <c r="L8" s="31"/>
      <c r="M8" s="32"/>
      <c r="N8" s="23"/>
    </row>
    <row r="9" spans="2:14" ht="15.75" customHeight="1">
      <c r="B9" s="124">
        <v>4</v>
      </c>
      <c r="C9" s="41"/>
      <c r="D9" s="39"/>
      <c r="E9" s="39"/>
      <c r="F9" s="39"/>
      <c r="G9" s="66"/>
      <c r="H9" s="40"/>
      <c r="I9" s="66"/>
      <c r="J9" s="39"/>
      <c r="K9" s="41"/>
      <c r="L9" s="31"/>
      <c r="M9" s="32"/>
      <c r="N9" s="23"/>
    </row>
    <row r="10" spans="2:14" ht="15.75" customHeight="1">
      <c r="B10" s="124">
        <v>5</v>
      </c>
      <c r="C10" s="41"/>
      <c r="D10" s="39"/>
      <c r="E10" s="39"/>
      <c r="F10" s="39"/>
      <c r="G10" s="66"/>
      <c r="H10" s="40"/>
      <c r="I10" s="66"/>
      <c r="J10" s="39"/>
      <c r="K10" s="41"/>
      <c r="L10" s="31"/>
      <c r="M10" s="32"/>
      <c r="N10" s="23"/>
    </row>
    <row r="11" spans="2:14" ht="15.75" customHeight="1">
      <c r="B11" s="124">
        <v>6</v>
      </c>
      <c r="C11" s="41"/>
      <c r="D11" s="39"/>
      <c r="E11" s="39"/>
      <c r="F11" s="39"/>
      <c r="G11" s="66"/>
      <c r="H11" s="40"/>
      <c r="I11" s="66"/>
      <c r="J11" s="39"/>
      <c r="K11" s="41"/>
      <c r="L11" s="31"/>
      <c r="M11" s="32"/>
      <c r="N11" s="23"/>
    </row>
    <row r="12" spans="2:14" ht="15.75" customHeight="1">
      <c r="B12" s="124">
        <v>7</v>
      </c>
      <c r="C12" s="41"/>
      <c r="D12" s="39"/>
      <c r="E12" s="39"/>
      <c r="F12" s="39"/>
      <c r="G12" s="66"/>
      <c r="H12" s="40"/>
      <c r="I12" s="66"/>
      <c r="J12" s="39"/>
      <c r="K12" s="41"/>
      <c r="L12" s="31"/>
      <c r="M12" s="32"/>
      <c r="N12" s="23"/>
    </row>
    <row r="13" spans="2:14" ht="15.75" customHeight="1">
      <c r="B13" s="124">
        <v>8</v>
      </c>
      <c r="C13" s="41"/>
      <c r="D13" s="39"/>
      <c r="E13" s="39"/>
      <c r="F13" s="39"/>
      <c r="G13" s="66"/>
      <c r="H13" s="40"/>
      <c r="I13" s="66"/>
      <c r="J13" s="39"/>
      <c r="K13" s="41"/>
      <c r="L13" s="31"/>
      <c r="M13" s="32"/>
      <c r="N13" s="23"/>
    </row>
    <row r="14" spans="2:14" ht="15.75" customHeight="1">
      <c r="B14" s="124">
        <v>9</v>
      </c>
      <c r="C14" s="41"/>
      <c r="D14" s="39"/>
      <c r="E14" s="39"/>
      <c r="F14" s="39"/>
      <c r="G14" s="66"/>
      <c r="H14" s="40"/>
      <c r="I14" s="66"/>
      <c r="J14" s="39"/>
      <c r="K14" s="41"/>
      <c r="L14" s="31"/>
      <c r="M14" s="32"/>
      <c r="N14" s="23"/>
    </row>
    <row r="15" spans="2:14" ht="15.75" customHeight="1">
      <c r="B15" s="124">
        <v>10</v>
      </c>
      <c r="C15" s="41"/>
      <c r="D15" s="39"/>
      <c r="E15" s="39"/>
      <c r="F15" s="39"/>
      <c r="G15" s="66"/>
      <c r="H15" s="40"/>
      <c r="I15" s="66"/>
      <c r="J15" s="39"/>
      <c r="K15" s="41"/>
      <c r="L15" s="31"/>
      <c r="M15" s="32"/>
      <c r="N15" s="23"/>
    </row>
    <row r="16" spans="2:14" ht="15.75" hidden="1" customHeight="1">
      <c r="B16" s="124">
        <v>11</v>
      </c>
      <c r="C16" s="41"/>
      <c r="D16" s="39"/>
      <c r="E16" s="39"/>
      <c r="F16" s="39"/>
      <c r="G16" s="66"/>
      <c r="H16" s="40"/>
      <c r="I16" s="66"/>
      <c r="J16" s="39"/>
      <c r="K16" s="41"/>
      <c r="L16" s="31"/>
      <c r="M16" s="32"/>
      <c r="N16" s="23"/>
    </row>
    <row r="17" spans="2:14" ht="15.75" hidden="1" customHeight="1">
      <c r="B17" s="124">
        <v>12</v>
      </c>
      <c r="C17" s="41"/>
      <c r="D17" s="39"/>
      <c r="E17" s="39"/>
      <c r="F17" s="39"/>
      <c r="G17" s="66"/>
      <c r="H17" s="40"/>
      <c r="I17" s="66"/>
      <c r="J17" s="39"/>
      <c r="K17" s="41"/>
      <c r="L17" s="31"/>
      <c r="M17" s="32"/>
      <c r="N17" s="23"/>
    </row>
    <row r="18" spans="2:14" ht="15.75" hidden="1" customHeight="1">
      <c r="B18" s="124">
        <v>13</v>
      </c>
      <c r="C18" s="41"/>
      <c r="D18" s="39"/>
      <c r="E18" s="39"/>
      <c r="F18" s="39"/>
      <c r="G18" s="66"/>
      <c r="H18" s="40"/>
      <c r="I18" s="66"/>
      <c r="J18" s="39"/>
      <c r="K18" s="41"/>
      <c r="L18" s="31"/>
      <c r="M18" s="32"/>
      <c r="N18" s="23"/>
    </row>
    <row r="19" spans="2:14" ht="15.75" hidden="1" customHeight="1">
      <c r="B19" s="124">
        <v>14</v>
      </c>
      <c r="C19" s="41"/>
      <c r="D19" s="39"/>
      <c r="E19" s="39"/>
      <c r="F19" s="39"/>
      <c r="G19" s="66"/>
      <c r="H19" s="40"/>
      <c r="I19" s="66"/>
      <c r="J19" s="39"/>
      <c r="K19" s="41"/>
      <c r="L19" s="31"/>
      <c r="M19" s="32"/>
      <c r="N19" s="23"/>
    </row>
    <row r="20" spans="2:14" ht="15.75" hidden="1" customHeight="1">
      <c r="B20" s="124">
        <v>15</v>
      </c>
      <c r="C20" s="41"/>
      <c r="D20" s="39"/>
      <c r="E20" s="39"/>
      <c r="F20" s="39"/>
      <c r="G20" s="66"/>
      <c r="H20" s="40"/>
      <c r="I20" s="66"/>
      <c r="J20" s="39"/>
      <c r="K20" s="41"/>
      <c r="L20" s="31"/>
      <c r="M20" s="32"/>
      <c r="N20" s="23"/>
    </row>
    <row r="21" spans="2:14" ht="15.75" hidden="1" customHeight="1">
      <c r="B21" s="124">
        <v>16</v>
      </c>
      <c r="C21" s="41"/>
      <c r="D21" s="39"/>
      <c r="E21" s="39"/>
      <c r="F21" s="39"/>
      <c r="G21" s="66"/>
      <c r="H21" s="40"/>
      <c r="I21" s="66"/>
      <c r="J21" s="39"/>
      <c r="K21" s="41"/>
      <c r="L21" s="31"/>
      <c r="M21" s="32"/>
      <c r="N21" s="23"/>
    </row>
    <row r="22" spans="2:14" ht="15.75" hidden="1" customHeight="1">
      <c r="B22" s="124">
        <v>17</v>
      </c>
      <c r="C22" s="41"/>
      <c r="D22" s="39"/>
      <c r="E22" s="39"/>
      <c r="F22" s="39"/>
      <c r="G22" s="66"/>
      <c r="H22" s="40"/>
      <c r="I22" s="66"/>
      <c r="J22" s="39"/>
      <c r="K22" s="41"/>
      <c r="L22" s="31"/>
      <c r="M22" s="32"/>
      <c r="N22" s="23"/>
    </row>
    <row r="23" spans="2:14" ht="15.75" hidden="1" customHeight="1">
      <c r="B23" s="124">
        <v>18</v>
      </c>
      <c r="C23" s="41"/>
      <c r="D23" s="39"/>
      <c r="E23" s="39"/>
      <c r="F23" s="39"/>
      <c r="G23" s="66"/>
      <c r="H23" s="40"/>
      <c r="I23" s="66"/>
      <c r="J23" s="39"/>
      <c r="K23" s="41"/>
      <c r="L23" s="31"/>
      <c r="M23" s="32"/>
      <c r="N23" s="23"/>
    </row>
    <row r="24" spans="2:14" ht="15.75" hidden="1" customHeight="1">
      <c r="B24" s="124">
        <v>19</v>
      </c>
      <c r="C24" s="41"/>
      <c r="D24" s="39"/>
      <c r="E24" s="39"/>
      <c r="F24" s="39"/>
      <c r="G24" s="66"/>
      <c r="H24" s="40"/>
      <c r="I24" s="66"/>
      <c r="J24" s="39"/>
      <c r="K24" s="41"/>
      <c r="L24" s="31"/>
      <c r="M24" s="32"/>
      <c r="N24" s="23"/>
    </row>
    <row r="25" spans="2:14" ht="15.75" hidden="1" customHeight="1">
      <c r="B25" s="124">
        <v>20</v>
      </c>
      <c r="C25" s="41"/>
      <c r="D25" s="39"/>
      <c r="E25" s="39"/>
      <c r="F25" s="39"/>
      <c r="G25" s="66"/>
      <c r="H25" s="40"/>
      <c r="I25" s="66"/>
      <c r="J25" s="39"/>
      <c r="K25" s="41"/>
      <c r="L25" s="31"/>
      <c r="M25" s="32"/>
      <c r="N25" s="23"/>
    </row>
    <row r="26" spans="2:14" ht="15.75" hidden="1" customHeight="1">
      <c r="B26" s="124">
        <v>21</v>
      </c>
      <c r="C26" s="41"/>
      <c r="D26" s="39"/>
      <c r="E26" s="39"/>
      <c r="F26" s="39"/>
      <c r="G26" s="66"/>
      <c r="H26" s="40"/>
      <c r="I26" s="66"/>
      <c r="J26" s="39"/>
      <c r="K26" s="41"/>
      <c r="L26" s="31"/>
      <c r="M26" s="32"/>
      <c r="N26" s="23"/>
    </row>
    <row r="27" spans="2:14" ht="15.75" hidden="1" customHeight="1">
      <c r="B27" s="124">
        <v>22</v>
      </c>
      <c r="C27" s="41"/>
      <c r="D27" s="39"/>
      <c r="E27" s="39"/>
      <c r="F27" s="39"/>
      <c r="G27" s="66"/>
      <c r="H27" s="40"/>
      <c r="I27" s="66"/>
      <c r="J27" s="39"/>
      <c r="K27" s="41"/>
      <c r="L27" s="31"/>
      <c r="M27" s="32"/>
      <c r="N27" s="23"/>
    </row>
    <row r="28" spans="2:14" ht="15.75" hidden="1" customHeight="1">
      <c r="B28" s="124">
        <v>23</v>
      </c>
      <c r="C28" s="41"/>
      <c r="D28" s="39"/>
      <c r="E28" s="39"/>
      <c r="F28" s="39"/>
      <c r="G28" s="66"/>
      <c r="H28" s="40"/>
      <c r="I28" s="66"/>
      <c r="J28" s="39"/>
      <c r="K28" s="41"/>
      <c r="L28" s="31"/>
      <c r="M28" s="32"/>
      <c r="N28" s="23"/>
    </row>
    <row r="29" spans="2:14" ht="15.75" hidden="1" customHeight="1">
      <c r="B29" s="124">
        <v>24</v>
      </c>
      <c r="C29" s="41"/>
      <c r="D29" s="39"/>
      <c r="E29" s="39"/>
      <c r="F29" s="39"/>
      <c r="G29" s="66"/>
      <c r="H29" s="40"/>
      <c r="I29" s="66"/>
      <c r="J29" s="39"/>
      <c r="K29" s="41"/>
      <c r="L29" s="31"/>
      <c r="M29" s="32"/>
      <c r="N29" s="23"/>
    </row>
    <row r="30" spans="2:14" ht="15.75" hidden="1" customHeight="1">
      <c r="B30" s="124">
        <v>25</v>
      </c>
      <c r="C30" s="41"/>
      <c r="D30" s="39"/>
      <c r="E30" s="39"/>
      <c r="F30" s="39"/>
      <c r="G30" s="66"/>
      <c r="H30" s="40"/>
      <c r="I30" s="66"/>
      <c r="J30" s="39"/>
      <c r="K30" s="41"/>
      <c r="L30" s="31"/>
      <c r="M30" s="32"/>
      <c r="N30" s="23"/>
    </row>
    <row r="31" spans="2:14" ht="15.75" hidden="1" customHeight="1">
      <c r="B31" s="124">
        <v>26</v>
      </c>
      <c r="C31" s="41"/>
      <c r="D31" s="39"/>
      <c r="E31" s="39"/>
      <c r="F31" s="39"/>
      <c r="G31" s="66"/>
      <c r="H31" s="40"/>
      <c r="I31" s="66"/>
      <c r="J31" s="39"/>
      <c r="K31" s="41"/>
      <c r="L31" s="31"/>
      <c r="M31" s="32"/>
      <c r="N31" s="23"/>
    </row>
    <row r="32" spans="2:14" ht="15.75" hidden="1" customHeight="1">
      <c r="B32" s="124">
        <v>27</v>
      </c>
      <c r="C32" s="41"/>
      <c r="D32" s="39"/>
      <c r="E32" s="39"/>
      <c r="F32" s="39"/>
      <c r="G32" s="66"/>
      <c r="H32" s="40"/>
      <c r="I32" s="66"/>
      <c r="J32" s="39"/>
      <c r="K32" s="41"/>
      <c r="L32" s="31"/>
      <c r="M32" s="32"/>
      <c r="N32" s="23"/>
    </row>
    <row r="33" spans="2:14" ht="15.75" hidden="1" customHeight="1">
      <c r="B33" s="124">
        <v>28</v>
      </c>
      <c r="C33" s="41"/>
      <c r="D33" s="39"/>
      <c r="E33" s="39"/>
      <c r="F33" s="39"/>
      <c r="G33" s="66"/>
      <c r="H33" s="40"/>
      <c r="I33" s="66"/>
      <c r="J33" s="39"/>
      <c r="K33" s="41"/>
      <c r="L33" s="31"/>
      <c r="M33" s="32"/>
      <c r="N33" s="23"/>
    </row>
    <row r="34" spans="2:14" ht="15.75" hidden="1" customHeight="1">
      <c r="B34" s="124">
        <v>29</v>
      </c>
      <c r="C34" s="41"/>
      <c r="D34" s="39"/>
      <c r="E34" s="39"/>
      <c r="F34" s="39"/>
      <c r="G34" s="66"/>
      <c r="H34" s="40"/>
      <c r="I34" s="66"/>
      <c r="J34" s="39"/>
      <c r="K34" s="41"/>
      <c r="L34" s="31"/>
      <c r="M34" s="32"/>
      <c r="N34" s="23"/>
    </row>
    <row r="35" spans="2:14" ht="15.75" hidden="1" customHeight="1">
      <c r="B35" s="124">
        <v>30</v>
      </c>
      <c r="C35" s="41"/>
      <c r="D35" s="39"/>
      <c r="E35" s="39"/>
      <c r="F35" s="39"/>
      <c r="G35" s="66"/>
      <c r="H35" s="40"/>
      <c r="I35" s="66"/>
      <c r="J35" s="39"/>
      <c r="K35" s="41"/>
      <c r="L35" s="31"/>
      <c r="M35" s="32"/>
      <c r="N35" s="23"/>
    </row>
    <row r="36" spans="2:14" ht="15.75" hidden="1" customHeight="1">
      <c r="B36" s="124">
        <v>31</v>
      </c>
      <c r="C36" s="41"/>
      <c r="D36" s="39"/>
      <c r="E36" s="39"/>
      <c r="F36" s="39"/>
      <c r="G36" s="66"/>
      <c r="H36" s="40"/>
      <c r="I36" s="66"/>
      <c r="J36" s="39"/>
      <c r="K36" s="41"/>
      <c r="L36" s="31"/>
      <c r="M36" s="32"/>
      <c r="N36" s="23"/>
    </row>
    <row r="37" spans="2:14" ht="15.75" hidden="1" customHeight="1">
      <c r="B37" s="124">
        <v>32</v>
      </c>
      <c r="C37" s="41"/>
      <c r="D37" s="39"/>
      <c r="E37" s="39"/>
      <c r="F37" s="39"/>
      <c r="G37" s="66"/>
      <c r="H37" s="40"/>
      <c r="I37" s="66"/>
      <c r="J37" s="39"/>
      <c r="K37" s="41"/>
      <c r="L37" s="31"/>
      <c r="M37" s="32"/>
      <c r="N37" s="23"/>
    </row>
    <row r="38" spans="2:14" ht="15.75" hidden="1" customHeight="1">
      <c r="B38" s="124">
        <v>33</v>
      </c>
      <c r="C38" s="41"/>
      <c r="D38" s="39"/>
      <c r="E38" s="39"/>
      <c r="F38" s="39"/>
      <c r="G38" s="66"/>
      <c r="H38" s="40"/>
      <c r="I38" s="66"/>
      <c r="J38" s="39"/>
      <c r="K38" s="41"/>
      <c r="L38" s="31"/>
      <c r="M38" s="32"/>
      <c r="N38" s="23"/>
    </row>
    <row r="39" spans="2:14" ht="15.75" hidden="1" customHeight="1">
      <c r="B39" s="124">
        <v>34</v>
      </c>
      <c r="C39" s="41"/>
      <c r="D39" s="39"/>
      <c r="E39" s="39"/>
      <c r="F39" s="39"/>
      <c r="G39" s="66"/>
      <c r="H39" s="40"/>
      <c r="I39" s="66"/>
      <c r="J39" s="39"/>
      <c r="K39" s="41"/>
      <c r="L39" s="31"/>
      <c r="M39" s="32"/>
      <c r="N39" s="23"/>
    </row>
    <row r="40" spans="2:14" ht="15.75" hidden="1" customHeight="1">
      <c r="B40" s="124">
        <v>35</v>
      </c>
      <c r="C40" s="41"/>
      <c r="D40" s="39"/>
      <c r="E40" s="39"/>
      <c r="F40" s="39"/>
      <c r="G40" s="66"/>
      <c r="H40" s="40"/>
      <c r="I40" s="66"/>
      <c r="J40" s="39"/>
      <c r="K40" s="41"/>
      <c r="L40" s="31"/>
      <c r="M40" s="32"/>
      <c r="N40" s="23"/>
    </row>
    <row r="41" spans="2:14" ht="15.75" hidden="1" customHeight="1">
      <c r="B41" s="124">
        <v>36</v>
      </c>
      <c r="C41" s="41"/>
      <c r="D41" s="39"/>
      <c r="E41" s="39"/>
      <c r="F41" s="39"/>
      <c r="G41" s="66"/>
      <c r="H41" s="40"/>
      <c r="I41" s="66"/>
      <c r="J41" s="39"/>
      <c r="K41" s="41"/>
      <c r="L41" s="31"/>
      <c r="M41" s="32"/>
      <c r="N41" s="23"/>
    </row>
    <row r="42" spans="2:14" ht="15.75" hidden="1" customHeight="1">
      <c r="B42" s="124">
        <v>37</v>
      </c>
      <c r="C42" s="41"/>
      <c r="D42" s="39"/>
      <c r="E42" s="39"/>
      <c r="F42" s="39"/>
      <c r="G42" s="66"/>
      <c r="H42" s="40"/>
      <c r="I42" s="66"/>
      <c r="J42" s="39"/>
      <c r="K42" s="41"/>
      <c r="L42" s="31"/>
      <c r="M42" s="32"/>
      <c r="N42" s="23"/>
    </row>
    <row r="43" spans="2:14" ht="15.75" hidden="1" customHeight="1">
      <c r="B43" s="124">
        <v>38</v>
      </c>
      <c r="C43" s="41"/>
      <c r="D43" s="39"/>
      <c r="E43" s="39"/>
      <c r="F43" s="39"/>
      <c r="G43" s="66"/>
      <c r="H43" s="40"/>
      <c r="I43" s="66"/>
      <c r="J43" s="39"/>
      <c r="K43" s="41"/>
      <c r="L43" s="31"/>
      <c r="M43" s="32"/>
      <c r="N43" s="23"/>
    </row>
    <row r="44" spans="2:14" ht="15.75" hidden="1" customHeight="1">
      <c r="B44" s="124">
        <v>39</v>
      </c>
      <c r="C44" s="41"/>
      <c r="D44" s="39"/>
      <c r="E44" s="39"/>
      <c r="F44" s="39"/>
      <c r="G44" s="66"/>
      <c r="H44" s="40"/>
      <c r="I44" s="66"/>
      <c r="J44" s="39"/>
      <c r="K44" s="41"/>
      <c r="L44" s="31"/>
      <c r="M44" s="32"/>
      <c r="N44" s="23"/>
    </row>
    <row r="45" spans="2:14" ht="15.75" hidden="1" customHeight="1">
      <c r="B45" s="124">
        <v>40</v>
      </c>
      <c r="C45" s="41"/>
      <c r="D45" s="39"/>
      <c r="E45" s="39"/>
      <c r="F45" s="39"/>
      <c r="G45" s="66"/>
      <c r="H45" s="40"/>
      <c r="I45" s="66"/>
      <c r="J45" s="39"/>
      <c r="K45" s="41"/>
      <c r="L45" s="31"/>
      <c r="M45" s="32"/>
      <c r="N45" s="23"/>
    </row>
    <row r="46" spans="2:14" ht="15.75" hidden="1" customHeight="1">
      <c r="B46" s="124">
        <v>41</v>
      </c>
      <c r="C46" s="41"/>
      <c r="D46" s="39"/>
      <c r="E46" s="39"/>
      <c r="F46" s="39"/>
      <c r="G46" s="66"/>
      <c r="H46" s="40"/>
      <c r="I46" s="66"/>
      <c r="J46" s="39"/>
      <c r="K46" s="41"/>
      <c r="L46" s="31"/>
      <c r="M46" s="32"/>
      <c r="N46" s="23"/>
    </row>
    <row r="47" spans="2:14" ht="15.75" hidden="1" customHeight="1">
      <c r="B47" s="124">
        <v>42</v>
      </c>
      <c r="C47" s="41"/>
      <c r="D47" s="39"/>
      <c r="E47" s="39"/>
      <c r="F47" s="39"/>
      <c r="G47" s="66"/>
      <c r="H47" s="40"/>
      <c r="I47" s="66"/>
      <c r="J47" s="39"/>
      <c r="K47" s="41"/>
      <c r="L47" s="31"/>
      <c r="M47" s="32"/>
      <c r="N47" s="23"/>
    </row>
    <row r="48" spans="2:14" ht="15.75" hidden="1" customHeight="1">
      <c r="B48" s="124">
        <v>43</v>
      </c>
      <c r="C48" s="41"/>
      <c r="D48" s="39"/>
      <c r="E48" s="39"/>
      <c r="F48" s="39"/>
      <c r="G48" s="66"/>
      <c r="H48" s="40"/>
      <c r="I48" s="66"/>
      <c r="J48" s="39"/>
      <c r="K48" s="41"/>
      <c r="L48" s="31"/>
      <c r="M48" s="32"/>
      <c r="N48" s="23"/>
    </row>
    <row r="49" spans="2:14" ht="15.75" hidden="1" customHeight="1">
      <c r="B49" s="124">
        <v>44</v>
      </c>
      <c r="C49" s="41"/>
      <c r="D49" s="39"/>
      <c r="E49" s="39"/>
      <c r="F49" s="39"/>
      <c r="G49" s="66"/>
      <c r="H49" s="40"/>
      <c r="I49" s="66"/>
      <c r="J49" s="39"/>
      <c r="K49" s="41"/>
      <c r="L49" s="31"/>
      <c r="M49" s="32"/>
      <c r="N49" s="23"/>
    </row>
    <row r="50" spans="2:14" ht="15.75" hidden="1" customHeight="1">
      <c r="B50" s="124">
        <v>45</v>
      </c>
      <c r="C50" s="41"/>
      <c r="D50" s="39"/>
      <c r="E50" s="39"/>
      <c r="F50" s="39"/>
      <c r="G50" s="66"/>
      <c r="H50" s="40"/>
      <c r="I50" s="66"/>
      <c r="J50" s="39"/>
      <c r="K50" s="41"/>
      <c r="L50" s="31"/>
      <c r="M50" s="32"/>
      <c r="N50" s="23"/>
    </row>
    <row r="51" spans="2:14" ht="15.75" hidden="1" customHeight="1">
      <c r="B51" s="124">
        <v>46</v>
      </c>
      <c r="C51" s="41"/>
      <c r="D51" s="39"/>
      <c r="E51" s="39"/>
      <c r="F51" s="39"/>
      <c r="G51" s="66"/>
      <c r="H51" s="40"/>
      <c r="I51" s="66"/>
      <c r="J51" s="39"/>
      <c r="K51" s="41"/>
      <c r="L51" s="31"/>
      <c r="M51" s="32"/>
      <c r="N51" s="23"/>
    </row>
    <row r="52" spans="2:14" ht="15.75" hidden="1" customHeight="1">
      <c r="B52" s="124">
        <v>47</v>
      </c>
      <c r="C52" s="41"/>
      <c r="D52" s="39"/>
      <c r="E52" s="39"/>
      <c r="F52" s="39"/>
      <c r="G52" s="66"/>
      <c r="H52" s="40"/>
      <c r="I52" s="66"/>
      <c r="J52" s="39"/>
      <c r="K52" s="41"/>
      <c r="L52" s="31"/>
      <c r="M52" s="32"/>
      <c r="N52" s="23"/>
    </row>
    <row r="53" spans="2:14" ht="15.75" hidden="1" customHeight="1">
      <c r="B53" s="124">
        <v>48</v>
      </c>
      <c r="C53" s="41"/>
      <c r="D53" s="39"/>
      <c r="E53" s="39"/>
      <c r="F53" s="39"/>
      <c r="G53" s="66"/>
      <c r="H53" s="40"/>
      <c r="I53" s="66"/>
      <c r="J53" s="39"/>
      <c r="K53" s="41"/>
      <c r="L53" s="31"/>
      <c r="M53" s="32"/>
      <c r="N53" s="23"/>
    </row>
    <row r="54" spans="2:14" ht="15.75" hidden="1" customHeight="1">
      <c r="B54" s="124">
        <v>49</v>
      </c>
      <c r="C54" s="41"/>
      <c r="D54" s="39"/>
      <c r="E54" s="39"/>
      <c r="F54" s="39"/>
      <c r="G54" s="66"/>
      <c r="H54" s="40"/>
      <c r="I54" s="66"/>
      <c r="J54" s="39"/>
      <c r="K54" s="41"/>
      <c r="L54" s="31"/>
      <c r="M54" s="32"/>
      <c r="N54" s="23"/>
    </row>
    <row r="55" spans="2:14" ht="15.75" hidden="1" customHeight="1">
      <c r="B55" s="124">
        <v>50</v>
      </c>
      <c r="C55" s="41"/>
      <c r="D55" s="39"/>
      <c r="E55" s="39"/>
      <c r="F55" s="39"/>
      <c r="G55" s="66"/>
      <c r="H55" s="40"/>
      <c r="I55" s="66"/>
      <c r="J55" s="39"/>
      <c r="K55" s="41"/>
      <c r="L55" s="31"/>
      <c r="M55" s="32"/>
      <c r="N55" s="23"/>
    </row>
    <row r="56" spans="2:14" ht="15.75" hidden="1" customHeight="1">
      <c r="B56" s="124">
        <v>51</v>
      </c>
      <c r="C56" s="41"/>
      <c r="D56" s="39"/>
      <c r="E56" s="39"/>
      <c r="F56" s="39"/>
      <c r="G56" s="66"/>
      <c r="H56" s="40"/>
      <c r="I56" s="66"/>
      <c r="J56" s="39"/>
      <c r="K56" s="41"/>
      <c r="L56" s="31"/>
      <c r="M56" s="32"/>
      <c r="N56" s="23"/>
    </row>
    <row r="57" spans="2:14" ht="15.75" hidden="1" customHeight="1">
      <c r="B57" s="124">
        <v>52</v>
      </c>
      <c r="C57" s="41"/>
      <c r="D57" s="39"/>
      <c r="E57" s="39"/>
      <c r="F57" s="39"/>
      <c r="G57" s="66"/>
      <c r="H57" s="40"/>
      <c r="I57" s="66"/>
      <c r="J57" s="39"/>
      <c r="K57" s="41"/>
      <c r="L57" s="31"/>
      <c r="M57" s="32"/>
      <c r="N57" s="23"/>
    </row>
    <row r="58" spans="2:14" ht="15.75" hidden="1" customHeight="1">
      <c r="B58" s="124">
        <v>53</v>
      </c>
      <c r="C58" s="41"/>
      <c r="D58" s="39"/>
      <c r="E58" s="39"/>
      <c r="F58" s="39"/>
      <c r="G58" s="66"/>
      <c r="H58" s="40"/>
      <c r="I58" s="66"/>
      <c r="J58" s="39"/>
      <c r="K58" s="41"/>
      <c r="L58" s="31"/>
      <c r="M58" s="32"/>
      <c r="N58" s="23"/>
    </row>
    <row r="59" spans="2:14" ht="15.75" hidden="1" customHeight="1">
      <c r="B59" s="124">
        <v>54</v>
      </c>
      <c r="C59" s="41"/>
      <c r="D59" s="39"/>
      <c r="E59" s="39"/>
      <c r="F59" s="39"/>
      <c r="G59" s="66"/>
      <c r="H59" s="40"/>
      <c r="I59" s="66"/>
      <c r="J59" s="39"/>
      <c r="K59" s="41"/>
      <c r="L59" s="31"/>
      <c r="M59" s="32"/>
      <c r="N59" s="23"/>
    </row>
    <row r="60" spans="2:14" ht="15.75" hidden="1" customHeight="1">
      <c r="B60" s="124">
        <v>55</v>
      </c>
      <c r="C60" s="41"/>
      <c r="D60" s="39"/>
      <c r="E60" s="39"/>
      <c r="F60" s="39"/>
      <c r="G60" s="66"/>
      <c r="H60" s="40"/>
      <c r="I60" s="66"/>
      <c r="J60" s="39"/>
      <c r="K60" s="41"/>
      <c r="L60" s="31"/>
      <c r="M60" s="32"/>
      <c r="N60" s="23"/>
    </row>
    <row r="61" spans="2:14" ht="15.75" hidden="1" customHeight="1">
      <c r="B61" s="124">
        <v>56</v>
      </c>
      <c r="C61" s="41"/>
      <c r="D61" s="39"/>
      <c r="E61" s="39"/>
      <c r="F61" s="39"/>
      <c r="G61" s="66"/>
      <c r="H61" s="40"/>
      <c r="I61" s="66"/>
      <c r="J61" s="39"/>
      <c r="K61" s="41"/>
      <c r="L61" s="31"/>
      <c r="M61" s="32"/>
      <c r="N61" s="23"/>
    </row>
    <row r="62" spans="2:14" ht="15.75" hidden="1" customHeight="1">
      <c r="B62" s="124">
        <v>57</v>
      </c>
      <c r="C62" s="41"/>
      <c r="D62" s="39"/>
      <c r="E62" s="39"/>
      <c r="F62" s="39"/>
      <c r="G62" s="66"/>
      <c r="H62" s="40"/>
      <c r="I62" s="66"/>
      <c r="J62" s="39"/>
      <c r="K62" s="41"/>
      <c r="L62" s="31"/>
      <c r="M62" s="32"/>
      <c r="N62" s="23"/>
    </row>
    <row r="63" spans="2:14" ht="15.75" hidden="1" customHeight="1">
      <c r="B63" s="124">
        <v>58</v>
      </c>
      <c r="C63" s="41"/>
      <c r="D63" s="39"/>
      <c r="E63" s="39"/>
      <c r="F63" s="39"/>
      <c r="G63" s="66"/>
      <c r="H63" s="40"/>
      <c r="I63" s="66"/>
      <c r="J63" s="39"/>
      <c r="K63" s="41"/>
      <c r="L63" s="31"/>
      <c r="M63" s="32"/>
      <c r="N63" s="23"/>
    </row>
    <row r="64" spans="2:14" ht="15.75" hidden="1" customHeight="1">
      <c r="B64" s="124">
        <v>59</v>
      </c>
      <c r="C64" s="41"/>
      <c r="D64" s="39"/>
      <c r="E64" s="39"/>
      <c r="F64" s="39"/>
      <c r="G64" s="66"/>
      <c r="H64" s="40"/>
      <c r="I64" s="66"/>
      <c r="J64" s="39"/>
      <c r="K64" s="41"/>
      <c r="L64" s="31"/>
      <c r="M64" s="32"/>
      <c r="N64" s="23"/>
    </row>
    <row r="65" spans="2:14" ht="15.75" hidden="1" customHeight="1">
      <c r="B65" s="124">
        <v>60</v>
      </c>
      <c r="C65" s="41"/>
      <c r="D65" s="39"/>
      <c r="E65" s="39"/>
      <c r="F65" s="39"/>
      <c r="G65" s="66"/>
      <c r="H65" s="40"/>
      <c r="I65" s="66"/>
      <c r="J65" s="39"/>
      <c r="K65" s="41"/>
      <c r="L65" s="31"/>
      <c r="M65" s="32"/>
      <c r="N65" s="23"/>
    </row>
    <row r="66" spans="2:14" ht="15.75" hidden="1" customHeight="1">
      <c r="B66" s="124">
        <v>61</v>
      </c>
      <c r="C66" s="41"/>
      <c r="D66" s="39"/>
      <c r="E66" s="39"/>
      <c r="F66" s="39"/>
      <c r="G66" s="66"/>
      <c r="H66" s="40"/>
      <c r="I66" s="66"/>
      <c r="J66" s="39"/>
      <c r="K66" s="41"/>
      <c r="L66" s="31"/>
      <c r="M66" s="32"/>
      <c r="N66" s="23"/>
    </row>
    <row r="67" spans="2:14" ht="15.75" hidden="1" customHeight="1">
      <c r="B67" s="124">
        <v>62</v>
      </c>
      <c r="C67" s="41"/>
      <c r="D67" s="39"/>
      <c r="E67" s="39"/>
      <c r="F67" s="39"/>
      <c r="G67" s="66"/>
      <c r="H67" s="40"/>
      <c r="I67" s="66"/>
      <c r="J67" s="39"/>
      <c r="K67" s="41"/>
      <c r="L67" s="31"/>
      <c r="M67" s="32"/>
      <c r="N67" s="23"/>
    </row>
    <row r="68" spans="2:14" ht="15.75" hidden="1" customHeight="1">
      <c r="B68" s="124">
        <v>63</v>
      </c>
      <c r="C68" s="41"/>
      <c r="D68" s="39"/>
      <c r="E68" s="39"/>
      <c r="F68" s="39"/>
      <c r="G68" s="66"/>
      <c r="H68" s="40"/>
      <c r="I68" s="66"/>
      <c r="J68" s="39"/>
      <c r="K68" s="41"/>
      <c r="L68" s="31"/>
      <c r="M68" s="32"/>
      <c r="N68" s="23"/>
    </row>
    <row r="69" spans="2:14" ht="15.75" hidden="1" customHeight="1">
      <c r="B69" s="124">
        <v>64</v>
      </c>
      <c r="C69" s="41"/>
      <c r="D69" s="39"/>
      <c r="E69" s="39"/>
      <c r="F69" s="39"/>
      <c r="G69" s="66"/>
      <c r="H69" s="40"/>
      <c r="I69" s="66"/>
      <c r="J69" s="39"/>
      <c r="K69" s="41"/>
      <c r="L69" s="31"/>
      <c r="M69" s="32"/>
      <c r="N69" s="23"/>
    </row>
    <row r="70" spans="2:14" ht="15.75" hidden="1" customHeight="1">
      <c r="B70" s="124">
        <v>65</v>
      </c>
      <c r="C70" s="41"/>
      <c r="D70" s="39"/>
      <c r="E70" s="39"/>
      <c r="F70" s="39"/>
      <c r="G70" s="66"/>
      <c r="H70" s="40"/>
      <c r="I70" s="66"/>
      <c r="J70" s="39"/>
      <c r="K70" s="41"/>
      <c r="L70" s="31"/>
      <c r="M70" s="32"/>
      <c r="N70" s="23"/>
    </row>
    <row r="71" spans="2:14" ht="15.75" hidden="1" customHeight="1">
      <c r="B71" s="124">
        <v>66</v>
      </c>
      <c r="C71" s="41"/>
      <c r="D71" s="39"/>
      <c r="E71" s="39"/>
      <c r="F71" s="39"/>
      <c r="G71" s="66"/>
      <c r="H71" s="40"/>
      <c r="I71" s="66"/>
      <c r="J71" s="39"/>
      <c r="K71" s="41"/>
      <c r="L71" s="31"/>
      <c r="M71" s="32"/>
      <c r="N71" s="23"/>
    </row>
    <row r="72" spans="2:14" ht="15.75" hidden="1" customHeight="1">
      <c r="B72" s="124">
        <v>67</v>
      </c>
      <c r="C72" s="41"/>
      <c r="D72" s="39"/>
      <c r="E72" s="39"/>
      <c r="F72" s="39"/>
      <c r="G72" s="66"/>
      <c r="H72" s="40"/>
      <c r="I72" s="66"/>
      <c r="J72" s="39"/>
      <c r="K72" s="41"/>
      <c r="L72" s="31"/>
      <c r="M72" s="32"/>
      <c r="N72" s="23"/>
    </row>
    <row r="73" spans="2:14" ht="15.75" hidden="1" customHeight="1">
      <c r="B73" s="124">
        <v>68</v>
      </c>
      <c r="C73" s="41"/>
      <c r="D73" s="39"/>
      <c r="E73" s="39"/>
      <c r="F73" s="39"/>
      <c r="G73" s="66"/>
      <c r="H73" s="40"/>
      <c r="I73" s="66"/>
      <c r="J73" s="39"/>
      <c r="K73" s="41"/>
      <c r="L73" s="31"/>
      <c r="M73" s="32"/>
      <c r="N73" s="23"/>
    </row>
    <row r="74" spans="2:14" ht="15.75" hidden="1" customHeight="1">
      <c r="B74" s="124">
        <v>69</v>
      </c>
      <c r="C74" s="41"/>
      <c r="D74" s="39"/>
      <c r="E74" s="39"/>
      <c r="F74" s="39"/>
      <c r="G74" s="66"/>
      <c r="H74" s="40"/>
      <c r="I74" s="66"/>
      <c r="J74" s="39"/>
      <c r="K74" s="41"/>
      <c r="L74" s="31"/>
      <c r="M74" s="32"/>
      <c r="N74" s="23"/>
    </row>
    <row r="75" spans="2:14" ht="15.75" hidden="1" customHeight="1">
      <c r="B75" s="124">
        <v>70</v>
      </c>
      <c r="C75" s="41"/>
      <c r="D75" s="39"/>
      <c r="E75" s="39"/>
      <c r="F75" s="39"/>
      <c r="G75" s="66"/>
      <c r="H75" s="40"/>
      <c r="I75" s="66"/>
      <c r="J75" s="39"/>
      <c r="K75" s="41"/>
      <c r="L75" s="31"/>
      <c r="M75" s="32"/>
      <c r="N75" s="23"/>
    </row>
    <row r="76" spans="2:14" ht="15.75" hidden="1" customHeight="1">
      <c r="B76" s="124">
        <v>71</v>
      </c>
      <c r="C76" s="41"/>
      <c r="D76" s="39"/>
      <c r="E76" s="39"/>
      <c r="F76" s="39"/>
      <c r="G76" s="66"/>
      <c r="H76" s="40"/>
      <c r="I76" s="66"/>
      <c r="J76" s="39"/>
      <c r="K76" s="41"/>
      <c r="L76" s="31"/>
      <c r="M76" s="32"/>
      <c r="N76" s="23"/>
    </row>
    <row r="77" spans="2:14" ht="15.75" hidden="1" customHeight="1">
      <c r="B77" s="124">
        <v>72</v>
      </c>
      <c r="C77" s="41"/>
      <c r="D77" s="39"/>
      <c r="E77" s="39"/>
      <c r="F77" s="39"/>
      <c r="G77" s="66"/>
      <c r="H77" s="40"/>
      <c r="I77" s="66"/>
      <c r="J77" s="39"/>
      <c r="K77" s="41"/>
      <c r="L77" s="31"/>
      <c r="M77" s="32"/>
      <c r="N77" s="23"/>
    </row>
    <row r="78" spans="2:14" ht="15.75" hidden="1" customHeight="1">
      <c r="B78" s="124">
        <v>73</v>
      </c>
      <c r="C78" s="41"/>
      <c r="D78" s="39"/>
      <c r="E78" s="39"/>
      <c r="F78" s="39"/>
      <c r="G78" s="66"/>
      <c r="H78" s="40"/>
      <c r="I78" s="66"/>
      <c r="J78" s="39"/>
      <c r="K78" s="41"/>
      <c r="L78" s="31"/>
      <c r="M78" s="32"/>
      <c r="N78" s="23"/>
    </row>
    <row r="79" spans="2:14" ht="15.75" hidden="1" customHeight="1">
      <c r="B79" s="124">
        <v>74</v>
      </c>
      <c r="C79" s="41"/>
      <c r="D79" s="39"/>
      <c r="E79" s="39"/>
      <c r="F79" s="39"/>
      <c r="G79" s="66"/>
      <c r="H79" s="40"/>
      <c r="I79" s="66"/>
      <c r="J79" s="39"/>
      <c r="K79" s="41"/>
      <c r="L79" s="31"/>
      <c r="M79" s="32"/>
      <c r="N79" s="23"/>
    </row>
    <row r="80" spans="2:14" ht="15.75" hidden="1" customHeight="1">
      <c r="B80" s="124">
        <v>75</v>
      </c>
      <c r="C80" s="41"/>
      <c r="D80" s="39"/>
      <c r="E80" s="39"/>
      <c r="F80" s="39"/>
      <c r="G80" s="66"/>
      <c r="H80" s="40"/>
      <c r="I80" s="66"/>
      <c r="J80" s="39"/>
      <c r="K80" s="41"/>
      <c r="L80" s="31"/>
      <c r="M80" s="32"/>
      <c r="N80" s="23"/>
    </row>
    <row r="81" spans="2:14" ht="15.75" hidden="1" customHeight="1">
      <c r="B81" s="124">
        <v>76</v>
      </c>
      <c r="C81" s="41"/>
      <c r="D81" s="39"/>
      <c r="E81" s="39"/>
      <c r="F81" s="39"/>
      <c r="G81" s="66"/>
      <c r="H81" s="40"/>
      <c r="I81" s="66"/>
      <c r="J81" s="39"/>
      <c r="K81" s="41"/>
      <c r="L81" s="31"/>
      <c r="M81" s="32"/>
      <c r="N81" s="23"/>
    </row>
    <row r="82" spans="2:14" ht="15.75" hidden="1" customHeight="1">
      <c r="B82" s="124">
        <v>77</v>
      </c>
      <c r="C82" s="41"/>
      <c r="D82" s="39"/>
      <c r="E82" s="39"/>
      <c r="F82" s="39"/>
      <c r="G82" s="66"/>
      <c r="H82" s="40"/>
      <c r="I82" s="66"/>
      <c r="J82" s="39"/>
      <c r="K82" s="41"/>
      <c r="L82" s="31"/>
      <c r="M82" s="32"/>
      <c r="N82" s="23"/>
    </row>
    <row r="83" spans="2:14" ht="15.75" hidden="1" customHeight="1">
      <c r="B83" s="124">
        <v>78</v>
      </c>
      <c r="C83" s="41"/>
      <c r="D83" s="39"/>
      <c r="E83" s="39"/>
      <c r="F83" s="39"/>
      <c r="G83" s="66"/>
      <c r="H83" s="40"/>
      <c r="I83" s="66"/>
      <c r="J83" s="39"/>
      <c r="K83" s="41"/>
      <c r="L83" s="31"/>
      <c r="M83" s="32"/>
      <c r="N83" s="23"/>
    </row>
    <row r="84" spans="2:14" ht="15.75" hidden="1" customHeight="1">
      <c r="B84" s="124">
        <v>79</v>
      </c>
      <c r="C84" s="41"/>
      <c r="D84" s="39"/>
      <c r="E84" s="39"/>
      <c r="F84" s="39"/>
      <c r="G84" s="66"/>
      <c r="H84" s="40"/>
      <c r="I84" s="66"/>
      <c r="J84" s="39"/>
      <c r="K84" s="41"/>
      <c r="L84" s="31"/>
      <c r="M84" s="32"/>
      <c r="N84" s="23"/>
    </row>
    <row r="85" spans="2:14" ht="15.75" hidden="1" customHeight="1">
      <c r="B85" s="124">
        <v>80</v>
      </c>
      <c r="C85" s="41"/>
      <c r="D85" s="39"/>
      <c r="E85" s="39"/>
      <c r="F85" s="39"/>
      <c r="G85" s="66"/>
      <c r="H85" s="40"/>
      <c r="I85" s="66"/>
      <c r="J85" s="39"/>
      <c r="K85" s="41"/>
      <c r="L85" s="31"/>
      <c r="M85" s="32"/>
      <c r="N85" s="23"/>
    </row>
    <row r="86" spans="2:14" ht="15.75" hidden="1" customHeight="1">
      <c r="B86" s="124">
        <v>81</v>
      </c>
      <c r="C86" s="41"/>
      <c r="D86" s="39"/>
      <c r="E86" s="39"/>
      <c r="F86" s="39"/>
      <c r="G86" s="66"/>
      <c r="H86" s="40"/>
      <c r="I86" s="66"/>
      <c r="J86" s="39"/>
      <c r="K86" s="41"/>
      <c r="L86" s="31"/>
      <c r="M86" s="32"/>
      <c r="N86" s="23"/>
    </row>
    <row r="87" spans="2:14" ht="15.75" hidden="1" customHeight="1">
      <c r="B87" s="124">
        <v>82</v>
      </c>
      <c r="C87" s="41"/>
      <c r="D87" s="39"/>
      <c r="E87" s="39"/>
      <c r="F87" s="39"/>
      <c r="G87" s="66"/>
      <c r="H87" s="40"/>
      <c r="I87" s="66"/>
      <c r="J87" s="39"/>
      <c r="K87" s="41"/>
      <c r="L87" s="31"/>
      <c r="M87" s="32"/>
      <c r="N87" s="23"/>
    </row>
    <row r="88" spans="2:14" ht="15.75" hidden="1" customHeight="1">
      <c r="B88" s="124">
        <v>83</v>
      </c>
      <c r="C88" s="41"/>
      <c r="D88" s="39"/>
      <c r="E88" s="39"/>
      <c r="F88" s="39"/>
      <c r="G88" s="66"/>
      <c r="H88" s="40"/>
      <c r="I88" s="66"/>
      <c r="J88" s="39"/>
      <c r="K88" s="41"/>
      <c r="L88" s="31"/>
      <c r="M88" s="32"/>
      <c r="N88" s="23"/>
    </row>
    <row r="89" spans="2:14" ht="15.75" hidden="1" customHeight="1">
      <c r="B89" s="124">
        <v>84</v>
      </c>
      <c r="C89" s="41"/>
      <c r="D89" s="39"/>
      <c r="E89" s="39"/>
      <c r="F89" s="39"/>
      <c r="G89" s="66"/>
      <c r="H89" s="40"/>
      <c r="I89" s="66"/>
      <c r="J89" s="39"/>
      <c r="K89" s="41"/>
      <c r="L89" s="31"/>
      <c r="M89" s="32"/>
      <c r="N89" s="23"/>
    </row>
    <row r="90" spans="2:14" ht="15.75" hidden="1" customHeight="1">
      <c r="B90" s="124">
        <v>85</v>
      </c>
      <c r="C90" s="41"/>
      <c r="D90" s="39"/>
      <c r="E90" s="39"/>
      <c r="F90" s="39"/>
      <c r="G90" s="66"/>
      <c r="H90" s="40"/>
      <c r="I90" s="66"/>
      <c r="J90" s="39"/>
      <c r="K90" s="41"/>
      <c r="L90" s="31"/>
      <c r="M90" s="32"/>
      <c r="N90" s="23"/>
    </row>
    <row r="91" spans="2:14" ht="15.75" hidden="1" customHeight="1">
      <c r="B91" s="124">
        <v>86</v>
      </c>
      <c r="C91" s="41"/>
      <c r="D91" s="39"/>
      <c r="E91" s="39"/>
      <c r="F91" s="39"/>
      <c r="G91" s="66"/>
      <c r="H91" s="40"/>
      <c r="I91" s="66"/>
      <c r="J91" s="39"/>
      <c r="K91" s="41"/>
      <c r="L91" s="31"/>
      <c r="M91" s="32"/>
      <c r="N91" s="23"/>
    </row>
    <row r="92" spans="2:14" ht="15.75" hidden="1" customHeight="1">
      <c r="B92" s="124">
        <v>87</v>
      </c>
      <c r="C92" s="41"/>
      <c r="D92" s="39"/>
      <c r="E92" s="39"/>
      <c r="F92" s="39"/>
      <c r="G92" s="66"/>
      <c r="H92" s="40"/>
      <c r="I92" s="66"/>
      <c r="J92" s="39"/>
      <c r="K92" s="41"/>
      <c r="L92" s="31"/>
      <c r="M92" s="32"/>
      <c r="N92" s="23"/>
    </row>
    <row r="93" spans="2:14" ht="15.75" hidden="1" customHeight="1">
      <c r="B93" s="124">
        <v>88</v>
      </c>
      <c r="C93" s="41"/>
      <c r="D93" s="39"/>
      <c r="E93" s="39"/>
      <c r="F93" s="39"/>
      <c r="G93" s="66"/>
      <c r="H93" s="40"/>
      <c r="I93" s="66"/>
      <c r="J93" s="39"/>
      <c r="K93" s="41"/>
      <c r="L93" s="31"/>
      <c r="M93" s="32"/>
      <c r="N93" s="23"/>
    </row>
    <row r="94" spans="2:14" ht="15.75" hidden="1" customHeight="1">
      <c r="B94" s="124">
        <v>89</v>
      </c>
      <c r="C94" s="41"/>
      <c r="D94" s="39"/>
      <c r="E94" s="39"/>
      <c r="F94" s="39"/>
      <c r="G94" s="66"/>
      <c r="H94" s="40"/>
      <c r="I94" s="66"/>
      <c r="J94" s="39"/>
      <c r="K94" s="41"/>
      <c r="L94" s="31"/>
      <c r="M94" s="32"/>
      <c r="N94" s="23"/>
    </row>
    <row r="95" spans="2:14" ht="15.75" hidden="1" customHeight="1">
      <c r="B95" s="124">
        <v>90</v>
      </c>
      <c r="C95" s="41"/>
      <c r="D95" s="39"/>
      <c r="E95" s="39"/>
      <c r="F95" s="39"/>
      <c r="G95" s="66"/>
      <c r="H95" s="40"/>
      <c r="I95" s="66"/>
      <c r="J95" s="39"/>
      <c r="K95" s="41"/>
      <c r="L95" s="31"/>
      <c r="M95" s="32"/>
      <c r="N95" s="23"/>
    </row>
    <row r="96" spans="2:14" ht="15.75" hidden="1" customHeight="1">
      <c r="B96" s="124">
        <v>91</v>
      </c>
      <c r="C96" s="41"/>
      <c r="D96" s="39"/>
      <c r="E96" s="39"/>
      <c r="F96" s="39"/>
      <c r="G96" s="66"/>
      <c r="H96" s="40"/>
      <c r="I96" s="66"/>
      <c r="J96" s="39"/>
      <c r="K96" s="41"/>
      <c r="L96" s="31"/>
      <c r="M96" s="32"/>
      <c r="N96" s="24"/>
    </row>
    <row r="97" spans="2:14" ht="15.75" hidden="1" customHeight="1">
      <c r="B97" s="124">
        <v>92</v>
      </c>
      <c r="C97" s="41"/>
      <c r="D97" s="39"/>
      <c r="E97" s="39"/>
      <c r="F97" s="39"/>
      <c r="G97" s="66"/>
      <c r="H97" s="40"/>
      <c r="I97" s="66"/>
      <c r="J97" s="39"/>
      <c r="K97" s="41"/>
      <c r="L97" s="31"/>
      <c r="M97" s="32"/>
      <c r="N97" s="24"/>
    </row>
    <row r="98" spans="2:14" ht="15.75" hidden="1" customHeight="1">
      <c r="B98" s="124">
        <v>93</v>
      </c>
      <c r="C98" s="41"/>
      <c r="D98" s="39"/>
      <c r="E98" s="39"/>
      <c r="F98" s="39"/>
      <c r="G98" s="66"/>
      <c r="H98" s="40"/>
      <c r="I98" s="66"/>
      <c r="J98" s="39"/>
      <c r="K98" s="41"/>
      <c r="L98" s="31"/>
      <c r="M98" s="32"/>
      <c r="N98" s="24"/>
    </row>
    <row r="99" spans="2:14" ht="15.75" hidden="1" customHeight="1">
      <c r="B99" s="124">
        <v>94</v>
      </c>
      <c r="C99" s="41"/>
      <c r="D99" s="39"/>
      <c r="E99" s="39"/>
      <c r="F99" s="39"/>
      <c r="G99" s="66"/>
      <c r="H99" s="40"/>
      <c r="I99" s="66"/>
      <c r="J99" s="39"/>
      <c r="K99" s="41"/>
      <c r="L99" s="31"/>
      <c r="M99" s="32"/>
      <c r="N99" s="24"/>
    </row>
    <row r="100" spans="2:14" ht="15.75" hidden="1" customHeight="1">
      <c r="B100" s="124">
        <v>95</v>
      </c>
      <c r="C100" s="41"/>
      <c r="D100" s="39"/>
      <c r="E100" s="39"/>
      <c r="F100" s="39"/>
      <c r="G100" s="66"/>
      <c r="H100" s="40"/>
      <c r="I100" s="66"/>
      <c r="J100" s="39"/>
      <c r="K100" s="41"/>
      <c r="L100" s="31"/>
      <c r="M100" s="32"/>
      <c r="N100" s="24"/>
    </row>
    <row r="101" spans="2:14" ht="15.75" hidden="1" customHeight="1">
      <c r="B101" s="124">
        <v>96</v>
      </c>
      <c r="C101" s="41"/>
      <c r="D101" s="39"/>
      <c r="E101" s="39"/>
      <c r="F101" s="39"/>
      <c r="G101" s="66"/>
      <c r="H101" s="40"/>
      <c r="I101" s="66"/>
      <c r="J101" s="39"/>
      <c r="K101" s="41"/>
      <c r="L101" s="31"/>
      <c r="M101" s="32"/>
      <c r="N101" s="24"/>
    </row>
    <row r="102" spans="2:14" ht="15.75" hidden="1" customHeight="1">
      <c r="B102" s="124">
        <v>97</v>
      </c>
      <c r="C102" s="41"/>
      <c r="D102" s="39"/>
      <c r="E102" s="39"/>
      <c r="F102" s="39"/>
      <c r="G102" s="66"/>
      <c r="H102" s="40"/>
      <c r="I102" s="66"/>
      <c r="J102" s="39"/>
      <c r="K102" s="41"/>
      <c r="L102" s="31"/>
      <c r="M102" s="32"/>
      <c r="N102" s="24"/>
    </row>
    <row r="103" spans="2:14" ht="15.75" hidden="1" customHeight="1">
      <c r="B103" s="124">
        <v>98</v>
      </c>
      <c r="C103" s="41"/>
      <c r="D103" s="39"/>
      <c r="E103" s="39"/>
      <c r="F103" s="39"/>
      <c r="G103" s="66"/>
      <c r="H103" s="40"/>
      <c r="I103" s="66"/>
      <c r="J103" s="39"/>
      <c r="K103" s="41"/>
      <c r="L103" s="31"/>
      <c r="M103" s="32"/>
      <c r="N103" s="24"/>
    </row>
    <row r="104" spans="2:14" ht="15.75" hidden="1" customHeight="1">
      <c r="B104" s="124">
        <v>99</v>
      </c>
      <c r="C104" s="41"/>
      <c r="D104" s="39"/>
      <c r="E104" s="39"/>
      <c r="F104" s="39"/>
      <c r="G104" s="66"/>
      <c r="H104" s="40"/>
      <c r="I104" s="66"/>
      <c r="J104" s="39"/>
      <c r="K104" s="41"/>
      <c r="L104" s="31"/>
      <c r="M104" s="32"/>
      <c r="N104" s="24"/>
    </row>
    <row r="105" spans="2:14" ht="15.75" hidden="1" customHeight="1">
      <c r="B105" s="124">
        <v>100</v>
      </c>
      <c r="C105" s="41"/>
      <c r="D105" s="39"/>
      <c r="E105" s="39"/>
      <c r="F105" s="39"/>
      <c r="G105" s="66"/>
      <c r="H105" s="40"/>
      <c r="I105" s="66"/>
      <c r="J105" s="39"/>
      <c r="K105" s="41"/>
      <c r="L105" s="31"/>
      <c r="M105" s="32"/>
      <c r="N105" s="24"/>
    </row>
    <row r="106" spans="2:14" ht="21" customHeight="1">
      <c r="B106" s="161" t="s">
        <v>82</v>
      </c>
      <c r="C106" s="162"/>
      <c r="D106" s="163" t="str">
        <f>IF(TRIM(SUM($I$6:$I$105))="","",IF(SUM($I$6:$I$105)=0,"","(RMB)"&amp;IF(SUM($I$6:$I$105)&lt;0,"负",)&amp;IF(INT(SUM($I$6:$I$105)),TEXT(INT(ABS(SUM($I$6:$I$105))),"[DBNum2]")&amp;"元",)&amp;IF(INT(ABS(SUM($I$6:$I$105))*10)-INT(ABS(SUM($I$6:$I$105)))*10,TEXT(INT(ABS(SUM($I$6:$I$105))*10)-INT(ABS(SUM($I$6:$I$105)))*10,"[DBNum2]")&amp;"角",IF(INT(ABS(SUM($I$6:$I$105)))=ABS(SUM($I$6:$I$105)),,IF(ABS(SUM($I$6:$I$105))&lt;0.1,,"零")))&amp;IF(ROUND(ABS(SUM($I$6:$I$105))*100-INT(ABS(SUM($I$6:$I$105))*10)*10,),TEXT(ROUND(ABS(SUM($I$6:$I$105))*100-INT(ABS(SUM($I$6:$I$105))*10)*10,),"[DBNum2]")&amp;"分","整")))</f>
        <v/>
      </c>
      <c r="E106" s="163"/>
      <c r="F106" s="163"/>
      <c r="G106" s="163"/>
      <c r="H106" s="164"/>
      <c r="I106" s="161" t="s">
        <v>83</v>
      </c>
      <c r="J106" s="162"/>
      <c r="K106" s="61" t="str">
        <f>IF(SUM(I6:I105)=0,"",SUM(I6:I105))</f>
        <v/>
      </c>
      <c r="L106" s="31"/>
      <c r="M106" s="32"/>
      <c r="N106" s="24"/>
    </row>
    <row r="107" spans="2:14" ht="21" customHeight="1">
      <c r="B107" s="95"/>
      <c r="C107" s="96"/>
      <c r="D107" s="107" t="s">
        <v>126</v>
      </c>
      <c r="E107" s="65" t="s">
        <v>41</v>
      </c>
      <c r="F107" s="98"/>
      <c r="G107" s="98"/>
      <c r="H107" s="98"/>
      <c r="I107" s="155" t="s">
        <v>39</v>
      </c>
      <c r="J107" s="155"/>
      <c r="K107" s="26" t="s">
        <v>41</v>
      </c>
      <c r="L107" s="31"/>
      <c r="M107" s="32"/>
      <c r="N107" s="25"/>
    </row>
    <row r="108" spans="2:14" ht="3.75" customHeight="1">
      <c r="B108" s="99"/>
      <c r="C108" s="100"/>
      <c r="D108" s="99"/>
      <c r="E108" s="101"/>
      <c r="F108" s="99"/>
      <c r="G108" s="102"/>
      <c r="H108" s="99"/>
      <c r="I108" s="99"/>
      <c r="J108" s="99"/>
      <c r="K108" s="99"/>
      <c r="L108" s="31"/>
      <c r="M108" s="32"/>
      <c r="N108" s="20"/>
    </row>
    <row r="109" spans="2:14" s="31" customFormat="1" ht="18" customHeight="1">
      <c r="B109" s="99"/>
      <c r="C109" s="100"/>
      <c r="D109" s="99"/>
      <c r="E109" s="101"/>
      <c r="F109" s="99"/>
      <c r="G109" s="99"/>
      <c r="H109" s="99"/>
      <c r="I109" s="99"/>
      <c r="J109" s="99"/>
      <c r="K109" s="99"/>
      <c r="M109" s="32"/>
      <c r="N109" s="32"/>
    </row>
  </sheetData>
  <sheetProtection sheet="1" objects="1" scenarios="1" formatCells="0" formatColumns="0" formatRows="0"/>
  <mergeCells count="10">
    <mergeCell ref="D1:I1"/>
    <mergeCell ref="B106:C106"/>
    <mergeCell ref="D106:H106"/>
    <mergeCell ref="I106:J106"/>
    <mergeCell ref="D2:I3"/>
    <mergeCell ref="I107:J107"/>
    <mergeCell ref="B4:C4"/>
    <mergeCell ref="D4:E4"/>
    <mergeCell ref="F4:G4"/>
    <mergeCell ref="H4:I4"/>
  </mergeCells>
  <phoneticPr fontId="18" type="noConversion"/>
  <dataValidations count="1">
    <dataValidation imeMode="on" allowBlank="1" showInputMessage="1" showErrorMessage="1" sqref="B106"/>
  </dataValidations>
  <printOptions horizontalCentered="1"/>
  <pageMargins left="0" right="0" top="0.19685039370078741" bottom="0.19685039370078741" header="0.51181102362204722" footer="0.51181102362204722"/>
  <pageSetup paperSize="9" orientation="portrait" blackAndWhite="1" r:id="rId1"/>
  <headerFooter alignWithMargins="0"/>
  <drawing r:id="rId2"/>
  <legacyDrawing r:id="rId3"/>
  <picture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50"/>
  </sheetPr>
  <dimension ref="A1:N109"/>
  <sheetViews>
    <sheetView showGridLines="0" showOutlineSymbols="0" workbookViewId="0">
      <selection activeCell="D4" sqref="D4:E4"/>
    </sheetView>
  </sheetViews>
  <sheetFormatPr defaultColWidth="5.625" defaultRowHeight="18" customHeight="1"/>
  <cols>
    <col min="1" max="1" width="0.625" style="31" customWidth="1"/>
    <col min="2" max="2" width="3.875" style="103" customWidth="1"/>
    <col min="3" max="3" width="7.625" style="104" customWidth="1"/>
    <col min="4" max="4" width="12.625" style="103" customWidth="1"/>
    <col min="5" max="5" width="8.75" style="105" customWidth="1"/>
    <col min="6" max="6" width="4.5" style="103" bestFit="1" customWidth="1"/>
    <col min="7" max="7" width="6.375" style="103" customWidth="1"/>
    <col min="8" max="9" width="6.125" style="103" customWidth="1"/>
    <col min="10" max="10" width="9" style="103" bestFit="1" customWidth="1"/>
    <col min="11" max="11" width="9.75" style="103" bestFit="1" customWidth="1"/>
    <col min="12" max="12" width="0.75" style="21" customWidth="1"/>
    <col min="13" max="13" width="7.75" style="31" customWidth="1"/>
    <col min="14" max="14" width="7.75" style="21" customWidth="1"/>
    <col min="15" max="16384" width="5.625" style="21"/>
  </cols>
  <sheetData>
    <row r="1" spans="2:14" ht="18.75">
      <c r="B1" s="89"/>
      <c r="C1" s="89"/>
      <c r="D1" s="160" t="str">
        <f>IF(SysInfo!B25="","",SysInfo!B25)</f>
        <v>中国XXX股份集团有限公司</v>
      </c>
      <c r="E1" s="160"/>
      <c r="F1" s="160"/>
      <c r="G1" s="160"/>
      <c r="H1" s="160"/>
      <c r="I1" s="160"/>
      <c r="J1" s="89"/>
      <c r="K1" s="89"/>
      <c r="L1" s="33"/>
      <c r="M1" s="32"/>
      <c r="N1" s="20"/>
    </row>
    <row r="2" spans="2:14" ht="3" customHeight="1">
      <c r="B2" s="90"/>
      <c r="C2" s="90"/>
      <c r="D2" s="166" t="s">
        <v>118</v>
      </c>
      <c r="E2" s="166"/>
      <c r="F2" s="166"/>
      <c r="G2" s="166"/>
      <c r="H2" s="166"/>
      <c r="I2" s="166"/>
      <c r="J2" s="91"/>
      <c r="K2" s="92"/>
      <c r="L2" s="31"/>
      <c r="M2" s="32"/>
      <c r="N2" s="20"/>
    </row>
    <row r="3" spans="2:14" ht="17.100000000000001" customHeight="1">
      <c r="B3" s="90"/>
      <c r="C3" s="90"/>
      <c r="D3" s="166"/>
      <c r="E3" s="166"/>
      <c r="F3" s="166"/>
      <c r="G3" s="166"/>
      <c r="H3" s="166"/>
      <c r="I3" s="166"/>
      <c r="J3" s="91" t="s">
        <v>119</v>
      </c>
      <c r="K3" s="50" t="s">
        <v>247</v>
      </c>
      <c r="L3" s="31"/>
      <c r="M3" s="32"/>
      <c r="N3" s="20"/>
    </row>
    <row r="4" spans="2:14" ht="15" customHeight="1">
      <c r="B4" s="157" t="s">
        <v>117</v>
      </c>
      <c r="C4" s="157"/>
      <c r="D4" s="158" t="s">
        <v>41</v>
      </c>
      <c r="E4" s="158"/>
      <c r="F4" s="157" t="s">
        <v>121</v>
      </c>
      <c r="G4" s="157"/>
      <c r="H4" s="159" t="s">
        <v>41</v>
      </c>
      <c r="I4" s="158"/>
      <c r="J4" s="91" t="s">
        <v>120</v>
      </c>
      <c r="K4" s="51" t="s">
        <v>244</v>
      </c>
      <c r="L4" s="31"/>
      <c r="M4" s="32"/>
      <c r="N4" s="22"/>
    </row>
    <row r="5" spans="2:14" ht="18" customHeight="1">
      <c r="B5" s="93" t="s">
        <v>1</v>
      </c>
      <c r="C5" s="94" t="s">
        <v>4</v>
      </c>
      <c r="D5" s="93" t="s">
        <v>43</v>
      </c>
      <c r="E5" s="93" t="s">
        <v>44</v>
      </c>
      <c r="F5" s="93" t="s">
        <v>0</v>
      </c>
      <c r="G5" s="93" t="s">
        <v>2</v>
      </c>
      <c r="H5" s="93" t="s">
        <v>7</v>
      </c>
      <c r="I5" s="93" t="s">
        <v>3</v>
      </c>
      <c r="J5" s="93" t="s">
        <v>71</v>
      </c>
      <c r="K5" s="93" t="s">
        <v>42</v>
      </c>
      <c r="L5" s="31"/>
      <c r="M5" s="32"/>
      <c r="N5" s="23"/>
    </row>
    <row r="6" spans="2:14" ht="15.75" customHeight="1">
      <c r="B6" s="124" t="s">
        <v>226</v>
      </c>
      <c r="C6" s="41"/>
      <c r="D6" s="39"/>
      <c r="E6" s="39"/>
      <c r="F6" s="39"/>
      <c r="G6" s="66"/>
      <c r="H6" s="40"/>
      <c r="I6" s="66"/>
      <c r="J6" s="39"/>
      <c r="K6" s="41"/>
      <c r="L6" s="31"/>
      <c r="M6" s="32"/>
      <c r="N6" s="23"/>
    </row>
    <row r="7" spans="2:14" ht="15.75" customHeight="1">
      <c r="B7" s="124">
        <v>2</v>
      </c>
      <c r="C7" s="41"/>
      <c r="D7" s="39"/>
      <c r="E7" s="39"/>
      <c r="F7" s="39"/>
      <c r="G7" s="66"/>
      <c r="H7" s="40"/>
      <c r="I7" s="66"/>
      <c r="J7" s="39"/>
      <c r="K7" s="42"/>
      <c r="L7" s="31"/>
      <c r="M7" s="32"/>
      <c r="N7" s="23"/>
    </row>
    <row r="8" spans="2:14" ht="15.75" customHeight="1">
      <c r="B8" s="124">
        <v>3</v>
      </c>
      <c r="C8" s="41"/>
      <c r="D8" s="39"/>
      <c r="E8" s="39"/>
      <c r="F8" s="39"/>
      <c r="G8" s="66"/>
      <c r="H8" s="40"/>
      <c r="I8" s="66"/>
      <c r="J8" s="39"/>
      <c r="K8" s="41"/>
      <c r="L8" s="31"/>
      <c r="M8" s="32"/>
      <c r="N8" s="23"/>
    </row>
    <row r="9" spans="2:14" ht="15.75" customHeight="1">
      <c r="B9" s="124">
        <v>4</v>
      </c>
      <c r="C9" s="41"/>
      <c r="D9" s="39"/>
      <c r="E9" s="39"/>
      <c r="F9" s="39"/>
      <c r="G9" s="66"/>
      <c r="H9" s="40"/>
      <c r="I9" s="66"/>
      <c r="J9" s="39"/>
      <c r="K9" s="41"/>
      <c r="L9" s="31"/>
      <c r="M9" s="32"/>
      <c r="N9" s="23"/>
    </row>
    <row r="10" spans="2:14" ht="15.75" customHeight="1">
      <c r="B10" s="124">
        <v>5</v>
      </c>
      <c r="C10" s="41"/>
      <c r="D10" s="39"/>
      <c r="E10" s="39"/>
      <c r="F10" s="39"/>
      <c r="G10" s="66"/>
      <c r="H10" s="40"/>
      <c r="I10" s="66"/>
      <c r="J10" s="39"/>
      <c r="K10" s="41"/>
      <c r="L10" s="31"/>
      <c r="M10" s="32"/>
      <c r="N10" s="23"/>
    </row>
    <row r="11" spans="2:14" ht="15.75" customHeight="1">
      <c r="B11" s="124">
        <v>6</v>
      </c>
      <c r="C11" s="41"/>
      <c r="D11" s="39"/>
      <c r="E11" s="39"/>
      <c r="F11" s="39"/>
      <c r="G11" s="66"/>
      <c r="H11" s="40"/>
      <c r="I11" s="66"/>
      <c r="J11" s="39"/>
      <c r="K11" s="41"/>
      <c r="L11" s="31"/>
      <c r="M11" s="32"/>
      <c r="N11" s="23"/>
    </row>
    <row r="12" spans="2:14" ht="15.75" customHeight="1">
      <c r="B12" s="124">
        <v>7</v>
      </c>
      <c r="C12" s="41"/>
      <c r="D12" s="39"/>
      <c r="E12" s="39"/>
      <c r="F12" s="39"/>
      <c r="G12" s="66"/>
      <c r="H12" s="40"/>
      <c r="I12" s="66"/>
      <c r="J12" s="39"/>
      <c r="K12" s="41"/>
      <c r="L12" s="31"/>
      <c r="M12" s="32"/>
      <c r="N12" s="23"/>
    </row>
    <row r="13" spans="2:14" ht="15.75" customHeight="1">
      <c r="B13" s="124">
        <v>8</v>
      </c>
      <c r="C13" s="41"/>
      <c r="D13" s="39"/>
      <c r="E13" s="39"/>
      <c r="F13" s="39"/>
      <c r="G13" s="66"/>
      <c r="H13" s="40"/>
      <c r="I13" s="66"/>
      <c r="J13" s="39"/>
      <c r="K13" s="41"/>
      <c r="L13" s="31"/>
      <c r="M13" s="32"/>
      <c r="N13" s="23"/>
    </row>
    <row r="14" spans="2:14" ht="15.75" customHeight="1">
      <c r="B14" s="124">
        <v>9</v>
      </c>
      <c r="C14" s="41"/>
      <c r="D14" s="39"/>
      <c r="E14" s="39"/>
      <c r="F14" s="39"/>
      <c r="G14" s="66"/>
      <c r="H14" s="40"/>
      <c r="I14" s="66"/>
      <c r="J14" s="39"/>
      <c r="K14" s="41"/>
      <c r="L14" s="31"/>
      <c r="M14" s="32"/>
      <c r="N14" s="23"/>
    </row>
    <row r="15" spans="2:14" ht="15.75" customHeight="1">
      <c r="B15" s="124">
        <v>10</v>
      </c>
      <c r="C15" s="41"/>
      <c r="D15" s="39"/>
      <c r="E15" s="39"/>
      <c r="F15" s="39"/>
      <c r="G15" s="66"/>
      <c r="H15" s="40"/>
      <c r="I15" s="66"/>
      <c r="J15" s="39"/>
      <c r="K15" s="41"/>
      <c r="L15" s="31"/>
      <c r="M15" s="32"/>
      <c r="N15" s="23"/>
    </row>
    <row r="16" spans="2:14" ht="15.75" hidden="1" customHeight="1">
      <c r="B16" s="124">
        <v>11</v>
      </c>
      <c r="C16" s="43"/>
      <c r="D16" s="39"/>
      <c r="E16" s="39"/>
      <c r="F16" s="39"/>
      <c r="G16" s="66"/>
      <c r="H16" s="40"/>
      <c r="I16" s="66"/>
      <c r="J16" s="39"/>
      <c r="K16" s="41"/>
      <c r="L16" s="31"/>
      <c r="M16" s="32"/>
      <c r="N16" s="23"/>
    </row>
    <row r="17" spans="2:14" ht="15.75" hidden="1" customHeight="1">
      <c r="B17" s="124">
        <v>12</v>
      </c>
      <c r="C17" s="43"/>
      <c r="D17" s="39"/>
      <c r="E17" s="39"/>
      <c r="F17" s="39"/>
      <c r="G17" s="66"/>
      <c r="H17" s="40"/>
      <c r="I17" s="66"/>
      <c r="J17" s="39"/>
      <c r="K17" s="41"/>
      <c r="L17" s="31"/>
      <c r="M17" s="32"/>
      <c r="N17" s="23"/>
    </row>
    <row r="18" spans="2:14" ht="15.75" hidden="1" customHeight="1">
      <c r="B18" s="124">
        <v>13</v>
      </c>
      <c r="C18" s="41"/>
      <c r="D18" s="39"/>
      <c r="E18" s="39"/>
      <c r="F18" s="39"/>
      <c r="G18" s="66"/>
      <c r="H18" s="40"/>
      <c r="I18" s="66"/>
      <c r="J18" s="39"/>
      <c r="K18" s="41"/>
      <c r="L18" s="31"/>
      <c r="M18" s="32"/>
      <c r="N18" s="23"/>
    </row>
    <row r="19" spans="2:14" ht="15.75" hidden="1" customHeight="1">
      <c r="B19" s="124">
        <v>14</v>
      </c>
      <c r="C19" s="41"/>
      <c r="D19" s="39"/>
      <c r="E19" s="39"/>
      <c r="F19" s="39"/>
      <c r="G19" s="66"/>
      <c r="H19" s="40"/>
      <c r="I19" s="66"/>
      <c r="J19" s="39"/>
      <c r="K19" s="41"/>
      <c r="L19" s="31"/>
      <c r="M19" s="32"/>
      <c r="N19" s="23"/>
    </row>
    <row r="20" spans="2:14" ht="15.75" hidden="1" customHeight="1">
      <c r="B20" s="124">
        <v>15</v>
      </c>
      <c r="C20" s="41"/>
      <c r="D20" s="39"/>
      <c r="E20" s="39"/>
      <c r="F20" s="39"/>
      <c r="G20" s="66"/>
      <c r="H20" s="40"/>
      <c r="I20" s="66"/>
      <c r="J20" s="39"/>
      <c r="K20" s="41"/>
      <c r="L20" s="31"/>
      <c r="M20" s="32"/>
      <c r="N20" s="23"/>
    </row>
    <row r="21" spans="2:14" ht="15.75" hidden="1" customHeight="1">
      <c r="B21" s="124">
        <v>16</v>
      </c>
      <c r="C21" s="41"/>
      <c r="D21" s="39"/>
      <c r="E21" s="39"/>
      <c r="F21" s="39"/>
      <c r="G21" s="66"/>
      <c r="H21" s="40"/>
      <c r="I21" s="66"/>
      <c r="J21" s="39"/>
      <c r="K21" s="41"/>
      <c r="L21" s="31"/>
      <c r="M21" s="32"/>
      <c r="N21" s="23"/>
    </row>
    <row r="22" spans="2:14" ht="15.75" hidden="1" customHeight="1">
      <c r="B22" s="124">
        <v>17</v>
      </c>
      <c r="C22" s="41"/>
      <c r="D22" s="39"/>
      <c r="E22" s="39"/>
      <c r="F22" s="39"/>
      <c r="G22" s="66"/>
      <c r="H22" s="40"/>
      <c r="I22" s="66"/>
      <c r="J22" s="39"/>
      <c r="K22" s="41"/>
      <c r="L22" s="31"/>
      <c r="M22" s="32"/>
      <c r="N22" s="23"/>
    </row>
    <row r="23" spans="2:14" ht="15.75" hidden="1" customHeight="1">
      <c r="B23" s="124">
        <v>18</v>
      </c>
      <c r="C23" s="41"/>
      <c r="D23" s="39"/>
      <c r="E23" s="39"/>
      <c r="F23" s="39"/>
      <c r="G23" s="66"/>
      <c r="H23" s="40"/>
      <c r="I23" s="66"/>
      <c r="J23" s="39"/>
      <c r="K23" s="41"/>
      <c r="L23" s="31"/>
      <c r="M23" s="32"/>
      <c r="N23" s="23"/>
    </row>
    <row r="24" spans="2:14" ht="15.75" hidden="1" customHeight="1">
      <c r="B24" s="124">
        <v>19</v>
      </c>
      <c r="C24" s="41"/>
      <c r="D24" s="39"/>
      <c r="E24" s="39"/>
      <c r="F24" s="39"/>
      <c r="G24" s="66"/>
      <c r="H24" s="40"/>
      <c r="I24" s="66"/>
      <c r="J24" s="39"/>
      <c r="K24" s="41"/>
      <c r="L24" s="31"/>
      <c r="M24" s="32"/>
      <c r="N24" s="23"/>
    </row>
    <row r="25" spans="2:14" ht="15.75" hidden="1" customHeight="1">
      <c r="B25" s="124">
        <v>20</v>
      </c>
      <c r="C25" s="41"/>
      <c r="D25" s="39"/>
      <c r="E25" s="39"/>
      <c r="F25" s="39"/>
      <c r="G25" s="66"/>
      <c r="H25" s="40"/>
      <c r="I25" s="66"/>
      <c r="J25" s="39"/>
      <c r="K25" s="41"/>
      <c r="L25" s="31"/>
      <c r="M25" s="32"/>
      <c r="N25" s="23"/>
    </row>
    <row r="26" spans="2:14" ht="15.75" hidden="1" customHeight="1">
      <c r="B26" s="124">
        <v>21</v>
      </c>
      <c r="C26" s="41"/>
      <c r="D26" s="39"/>
      <c r="E26" s="39"/>
      <c r="F26" s="39"/>
      <c r="G26" s="66"/>
      <c r="H26" s="40"/>
      <c r="I26" s="66"/>
      <c r="J26" s="39"/>
      <c r="K26" s="41"/>
      <c r="L26" s="31"/>
      <c r="M26" s="32"/>
      <c r="N26" s="23"/>
    </row>
    <row r="27" spans="2:14" ht="15.75" hidden="1" customHeight="1">
      <c r="B27" s="124">
        <v>22</v>
      </c>
      <c r="C27" s="41"/>
      <c r="D27" s="39"/>
      <c r="E27" s="39"/>
      <c r="F27" s="39"/>
      <c r="G27" s="66"/>
      <c r="H27" s="40"/>
      <c r="I27" s="66"/>
      <c r="J27" s="39"/>
      <c r="K27" s="41"/>
      <c r="L27" s="31"/>
      <c r="M27" s="32"/>
      <c r="N27" s="23"/>
    </row>
    <row r="28" spans="2:14" ht="15.75" hidden="1" customHeight="1">
      <c r="B28" s="124">
        <v>23</v>
      </c>
      <c r="C28" s="41"/>
      <c r="D28" s="39"/>
      <c r="E28" s="39"/>
      <c r="F28" s="39"/>
      <c r="G28" s="66"/>
      <c r="H28" s="40"/>
      <c r="I28" s="66"/>
      <c r="J28" s="39"/>
      <c r="K28" s="41"/>
      <c r="L28" s="31"/>
      <c r="M28" s="32"/>
      <c r="N28" s="23"/>
    </row>
    <row r="29" spans="2:14" ht="15.75" hidden="1" customHeight="1">
      <c r="B29" s="124">
        <v>24</v>
      </c>
      <c r="C29" s="41"/>
      <c r="D29" s="39"/>
      <c r="E29" s="39"/>
      <c r="F29" s="39"/>
      <c r="G29" s="66"/>
      <c r="H29" s="40"/>
      <c r="I29" s="66"/>
      <c r="J29" s="39"/>
      <c r="K29" s="41"/>
      <c r="L29" s="31"/>
      <c r="M29" s="32"/>
      <c r="N29" s="23"/>
    </row>
    <row r="30" spans="2:14" ht="15.75" hidden="1" customHeight="1">
      <c r="B30" s="124">
        <v>25</v>
      </c>
      <c r="C30" s="41"/>
      <c r="D30" s="39"/>
      <c r="E30" s="39"/>
      <c r="F30" s="39"/>
      <c r="G30" s="66"/>
      <c r="H30" s="40"/>
      <c r="I30" s="66"/>
      <c r="J30" s="39"/>
      <c r="K30" s="41"/>
      <c r="L30" s="31"/>
      <c r="M30" s="32"/>
      <c r="N30" s="23"/>
    </row>
    <row r="31" spans="2:14" ht="15.75" hidden="1" customHeight="1">
      <c r="B31" s="124">
        <v>26</v>
      </c>
      <c r="C31" s="41"/>
      <c r="D31" s="39"/>
      <c r="E31" s="39"/>
      <c r="F31" s="39"/>
      <c r="G31" s="66"/>
      <c r="H31" s="40"/>
      <c r="I31" s="66"/>
      <c r="J31" s="39"/>
      <c r="K31" s="41"/>
      <c r="L31" s="31"/>
      <c r="M31" s="32"/>
      <c r="N31" s="23"/>
    </row>
    <row r="32" spans="2:14" ht="15.75" hidden="1" customHeight="1">
      <c r="B32" s="124">
        <v>27</v>
      </c>
      <c r="C32" s="41"/>
      <c r="D32" s="39"/>
      <c r="E32" s="39"/>
      <c r="F32" s="39"/>
      <c r="G32" s="66"/>
      <c r="H32" s="40"/>
      <c r="I32" s="66"/>
      <c r="J32" s="39"/>
      <c r="K32" s="41"/>
      <c r="L32" s="31"/>
      <c r="M32" s="32"/>
      <c r="N32" s="23"/>
    </row>
    <row r="33" spans="2:14" ht="15.75" hidden="1" customHeight="1">
      <c r="B33" s="124">
        <v>28</v>
      </c>
      <c r="C33" s="41"/>
      <c r="D33" s="39"/>
      <c r="E33" s="39"/>
      <c r="F33" s="39"/>
      <c r="G33" s="66"/>
      <c r="H33" s="40"/>
      <c r="I33" s="66"/>
      <c r="J33" s="39"/>
      <c r="K33" s="41"/>
      <c r="L33" s="31"/>
      <c r="M33" s="32"/>
      <c r="N33" s="23"/>
    </row>
    <row r="34" spans="2:14" ht="15.75" hidden="1" customHeight="1">
      <c r="B34" s="124">
        <v>29</v>
      </c>
      <c r="C34" s="41"/>
      <c r="D34" s="39"/>
      <c r="E34" s="39"/>
      <c r="F34" s="39"/>
      <c r="G34" s="66"/>
      <c r="H34" s="40"/>
      <c r="I34" s="66"/>
      <c r="J34" s="39"/>
      <c r="K34" s="41"/>
      <c r="L34" s="31"/>
      <c r="M34" s="32"/>
      <c r="N34" s="23"/>
    </row>
    <row r="35" spans="2:14" ht="15.75" hidden="1" customHeight="1">
      <c r="B35" s="124">
        <v>30</v>
      </c>
      <c r="C35" s="41"/>
      <c r="D35" s="39"/>
      <c r="E35" s="39"/>
      <c r="F35" s="39"/>
      <c r="G35" s="66"/>
      <c r="H35" s="40"/>
      <c r="I35" s="66"/>
      <c r="J35" s="39"/>
      <c r="K35" s="41"/>
      <c r="L35" s="31"/>
      <c r="M35" s="32"/>
      <c r="N35" s="23"/>
    </row>
    <row r="36" spans="2:14" ht="15.75" hidden="1" customHeight="1">
      <c r="B36" s="124">
        <v>31</v>
      </c>
      <c r="C36" s="41"/>
      <c r="D36" s="39"/>
      <c r="E36" s="39"/>
      <c r="F36" s="39"/>
      <c r="G36" s="66"/>
      <c r="H36" s="40"/>
      <c r="I36" s="66"/>
      <c r="J36" s="39"/>
      <c r="K36" s="41"/>
      <c r="L36" s="31"/>
      <c r="M36" s="32"/>
      <c r="N36" s="23"/>
    </row>
    <row r="37" spans="2:14" ht="15.75" hidden="1" customHeight="1">
      <c r="B37" s="124">
        <v>32</v>
      </c>
      <c r="C37" s="41"/>
      <c r="D37" s="39"/>
      <c r="E37" s="39"/>
      <c r="F37" s="39"/>
      <c r="G37" s="66"/>
      <c r="H37" s="40"/>
      <c r="I37" s="66"/>
      <c r="J37" s="39"/>
      <c r="K37" s="41"/>
      <c r="L37" s="31"/>
      <c r="M37" s="32"/>
      <c r="N37" s="23"/>
    </row>
    <row r="38" spans="2:14" ht="15.75" hidden="1" customHeight="1">
      <c r="B38" s="124">
        <v>33</v>
      </c>
      <c r="C38" s="41"/>
      <c r="D38" s="39"/>
      <c r="E38" s="39"/>
      <c r="F38" s="39"/>
      <c r="G38" s="66"/>
      <c r="H38" s="40"/>
      <c r="I38" s="66"/>
      <c r="J38" s="39"/>
      <c r="K38" s="41"/>
      <c r="L38" s="31"/>
      <c r="M38" s="32"/>
      <c r="N38" s="23"/>
    </row>
    <row r="39" spans="2:14" ht="15.75" hidden="1" customHeight="1">
      <c r="B39" s="124">
        <v>34</v>
      </c>
      <c r="C39" s="41"/>
      <c r="D39" s="39"/>
      <c r="E39" s="39"/>
      <c r="F39" s="39"/>
      <c r="G39" s="66"/>
      <c r="H39" s="40"/>
      <c r="I39" s="66"/>
      <c r="J39" s="39"/>
      <c r="K39" s="41"/>
      <c r="L39" s="31"/>
      <c r="M39" s="32"/>
      <c r="N39" s="23"/>
    </row>
    <row r="40" spans="2:14" ht="15.75" hidden="1" customHeight="1">
      <c r="B40" s="124">
        <v>35</v>
      </c>
      <c r="C40" s="41"/>
      <c r="D40" s="39"/>
      <c r="E40" s="39"/>
      <c r="F40" s="39"/>
      <c r="G40" s="66"/>
      <c r="H40" s="40"/>
      <c r="I40" s="66"/>
      <c r="J40" s="39"/>
      <c r="K40" s="41"/>
      <c r="L40" s="31"/>
      <c r="M40" s="32"/>
      <c r="N40" s="23"/>
    </row>
    <row r="41" spans="2:14" ht="15.75" hidden="1" customHeight="1">
      <c r="B41" s="124">
        <v>36</v>
      </c>
      <c r="C41" s="41"/>
      <c r="D41" s="39"/>
      <c r="E41" s="39"/>
      <c r="F41" s="39"/>
      <c r="G41" s="66"/>
      <c r="H41" s="40"/>
      <c r="I41" s="66"/>
      <c r="J41" s="39"/>
      <c r="K41" s="41"/>
      <c r="L41" s="31"/>
      <c r="M41" s="32"/>
      <c r="N41" s="23"/>
    </row>
    <row r="42" spans="2:14" ht="15.75" hidden="1" customHeight="1">
      <c r="B42" s="124">
        <v>37</v>
      </c>
      <c r="C42" s="41"/>
      <c r="D42" s="39"/>
      <c r="E42" s="39"/>
      <c r="F42" s="39"/>
      <c r="G42" s="66"/>
      <c r="H42" s="40"/>
      <c r="I42" s="66"/>
      <c r="J42" s="39"/>
      <c r="K42" s="41"/>
      <c r="L42" s="31"/>
      <c r="M42" s="32"/>
      <c r="N42" s="23"/>
    </row>
    <row r="43" spans="2:14" ht="15.75" hidden="1" customHeight="1">
      <c r="B43" s="124">
        <v>38</v>
      </c>
      <c r="C43" s="41"/>
      <c r="D43" s="39"/>
      <c r="E43" s="39"/>
      <c r="F43" s="39"/>
      <c r="G43" s="66"/>
      <c r="H43" s="40"/>
      <c r="I43" s="66"/>
      <c r="J43" s="39"/>
      <c r="K43" s="41"/>
      <c r="L43" s="31"/>
      <c r="M43" s="32"/>
      <c r="N43" s="23"/>
    </row>
    <row r="44" spans="2:14" ht="15.75" hidden="1" customHeight="1">
      <c r="B44" s="124">
        <v>39</v>
      </c>
      <c r="C44" s="41"/>
      <c r="D44" s="39"/>
      <c r="E44" s="39"/>
      <c r="F44" s="39"/>
      <c r="G44" s="66"/>
      <c r="H44" s="40"/>
      <c r="I44" s="66"/>
      <c r="J44" s="39"/>
      <c r="K44" s="41"/>
      <c r="L44" s="31"/>
      <c r="M44" s="32"/>
      <c r="N44" s="23"/>
    </row>
    <row r="45" spans="2:14" ht="15.75" hidden="1" customHeight="1">
      <c r="B45" s="124">
        <v>40</v>
      </c>
      <c r="C45" s="41"/>
      <c r="D45" s="39"/>
      <c r="E45" s="39"/>
      <c r="F45" s="39"/>
      <c r="G45" s="66"/>
      <c r="H45" s="40"/>
      <c r="I45" s="66"/>
      <c r="J45" s="39"/>
      <c r="K45" s="41"/>
      <c r="L45" s="31"/>
      <c r="M45" s="32"/>
      <c r="N45" s="23"/>
    </row>
    <row r="46" spans="2:14" ht="15.75" hidden="1" customHeight="1">
      <c r="B46" s="124">
        <v>41</v>
      </c>
      <c r="C46" s="41"/>
      <c r="D46" s="39"/>
      <c r="E46" s="39"/>
      <c r="F46" s="39"/>
      <c r="G46" s="66"/>
      <c r="H46" s="40"/>
      <c r="I46" s="66"/>
      <c r="J46" s="39"/>
      <c r="K46" s="41"/>
      <c r="L46" s="31"/>
      <c r="M46" s="32"/>
      <c r="N46" s="23"/>
    </row>
    <row r="47" spans="2:14" ht="15.75" hidden="1" customHeight="1">
      <c r="B47" s="124">
        <v>42</v>
      </c>
      <c r="C47" s="41"/>
      <c r="D47" s="39"/>
      <c r="E47" s="39"/>
      <c r="F47" s="39"/>
      <c r="G47" s="66"/>
      <c r="H47" s="40"/>
      <c r="I47" s="66"/>
      <c r="J47" s="39"/>
      <c r="K47" s="41"/>
      <c r="L47" s="31"/>
      <c r="M47" s="32"/>
      <c r="N47" s="23"/>
    </row>
    <row r="48" spans="2:14" ht="15.75" hidden="1" customHeight="1">
      <c r="B48" s="124">
        <v>43</v>
      </c>
      <c r="C48" s="41"/>
      <c r="D48" s="39"/>
      <c r="E48" s="39"/>
      <c r="F48" s="39"/>
      <c r="G48" s="66"/>
      <c r="H48" s="40"/>
      <c r="I48" s="66"/>
      <c r="J48" s="39"/>
      <c r="K48" s="41"/>
      <c r="L48" s="31"/>
      <c r="M48" s="32"/>
      <c r="N48" s="23"/>
    </row>
    <row r="49" spans="2:14" ht="15.75" hidden="1" customHeight="1">
      <c r="B49" s="124">
        <v>44</v>
      </c>
      <c r="C49" s="41"/>
      <c r="D49" s="39"/>
      <c r="E49" s="39"/>
      <c r="F49" s="39"/>
      <c r="G49" s="66"/>
      <c r="H49" s="40"/>
      <c r="I49" s="66"/>
      <c r="J49" s="39"/>
      <c r="K49" s="41"/>
      <c r="L49" s="31"/>
      <c r="M49" s="32"/>
      <c r="N49" s="23"/>
    </row>
    <row r="50" spans="2:14" ht="15.75" hidden="1" customHeight="1">
      <c r="B50" s="124">
        <v>45</v>
      </c>
      <c r="C50" s="41"/>
      <c r="D50" s="39"/>
      <c r="E50" s="39"/>
      <c r="F50" s="39"/>
      <c r="G50" s="66"/>
      <c r="H50" s="40"/>
      <c r="I50" s="66"/>
      <c r="J50" s="39"/>
      <c r="K50" s="41"/>
      <c r="L50" s="31"/>
      <c r="M50" s="32"/>
      <c r="N50" s="23"/>
    </row>
    <row r="51" spans="2:14" ht="15.75" hidden="1" customHeight="1">
      <c r="B51" s="124">
        <v>46</v>
      </c>
      <c r="C51" s="41"/>
      <c r="D51" s="39"/>
      <c r="E51" s="39"/>
      <c r="F51" s="39"/>
      <c r="G51" s="66"/>
      <c r="H51" s="40"/>
      <c r="I51" s="66"/>
      <c r="J51" s="39"/>
      <c r="K51" s="41"/>
      <c r="L51" s="31"/>
      <c r="M51" s="32"/>
      <c r="N51" s="23"/>
    </row>
    <row r="52" spans="2:14" ht="15.75" hidden="1" customHeight="1">
      <c r="B52" s="124">
        <v>47</v>
      </c>
      <c r="C52" s="41"/>
      <c r="D52" s="39"/>
      <c r="E52" s="39"/>
      <c r="F52" s="39"/>
      <c r="G52" s="66"/>
      <c r="H52" s="40"/>
      <c r="I52" s="66"/>
      <c r="J52" s="39"/>
      <c r="K52" s="41"/>
      <c r="L52" s="31"/>
      <c r="M52" s="32"/>
      <c r="N52" s="23"/>
    </row>
    <row r="53" spans="2:14" ht="15.75" hidden="1" customHeight="1">
      <c r="B53" s="124">
        <v>48</v>
      </c>
      <c r="C53" s="41"/>
      <c r="D53" s="39"/>
      <c r="E53" s="39"/>
      <c r="F53" s="39"/>
      <c r="G53" s="66"/>
      <c r="H53" s="40"/>
      <c r="I53" s="66"/>
      <c r="J53" s="39"/>
      <c r="K53" s="41"/>
      <c r="L53" s="31"/>
      <c r="M53" s="32"/>
      <c r="N53" s="23"/>
    </row>
    <row r="54" spans="2:14" ht="15.75" hidden="1" customHeight="1">
      <c r="B54" s="124">
        <v>49</v>
      </c>
      <c r="C54" s="41"/>
      <c r="D54" s="39"/>
      <c r="E54" s="39"/>
      <c r="F54" s="39"/>
      <c r="G54" s="66"/>
      <c r="H54" s="40"/>
      <c r="I54" s="66"/>
      <c r="J54" s="39"/>
      <c r="K54" s="41"/>
      <c r="L54" s="31"/>
      <c r="M54" s="32"/>
      <c r="N54" s="23"/>
    </row>
    <row r="55" spans="2:14" ht="15.75" hidden="1" customHeight="1">
      <c r="B55" s="124">
        <v>50</v>
      </c>
      <c r="C55" s="41"/>
      <c r="D55" s="39"/>
      <c r="E55" s="39"/>
      <c r="F55" s="39"/>
      <c r="G55" s="66"/>
      <c r="H55" s="40"/>
      <c r="I55" s="66"/>
      <c r="J55" s="39"/>
      <c r="K55" s="41"/>
      <c r="L55" s="31"/>
      <c r="M55" s="32"/>
      <c r="N55" s="23"/>
    </row>
    <row r="56" spans="2:14" ht="15.75" hidden="1" customHeight="1">
      <c r="B56" s="124">
        <v>51</v>
      </c>
      <c r="C56" s="41"/>
      <c r="D56" s="39"/>
      <c r="E56" s="39"/>
      <c r="F56" s="39"/>
      <c r="G56" s="66"/>
      <c r="H56" s="40"/>
      <c r="I56" s="66"/>
      <c r="J56" s="39"/>
      <c r="K56" s="41"/>
      <c r="L56" s="31"/>
      <c r="M56" s="32"/>
      <c r="N56" s="23"/>
    </row>
    <row r="57" spans="2:14" ht="15.75" hidden="1" customHeight="1">
      <c r="B57" s="124">
        <v>52</v>
      </c>
      <c r="C57" s="41"/>
      <c r="D57" s="39"/>
      <c r="E57" s="39"/>
      <c r="F57" s="39"/>
      <c r="G57" s="66"/>
      <c r="H57" s="40"/>
      <c r="I57" s="66"/>
      <c r="J57" s="39"/>
      <c r="K57" s="41"/>
      <c r="L57" s="31"/>
      <c r="M57" s="32"/>
      <c r="N57" s="23"/>
    </row>
    <row r="58" spans="2:14" ht="15.75" hidden="1" customHeight="1">
      <c r="B58" s="124">
        <v>53</v>
      </c>
      <c r="C58" s="41"/>
      <c r="D58" s="39"/>
      <c r="E58" s="39"/>
      <c r="F58" s="39"/>
      <c r="G58" s="66"/>
      <c r="H58" s="40"/>
      <c r="I58" s="66"/>
      <c r="J58" s="39"/>
      <c r="K58" s="41"/>
      <c r="L58" s="31"/>
      <c r="M58" s="32"/>
      <c r="N58" s="23"/>
    </row>
    <row r="59" spans="2:14" ht="15.75" hidden="1" customHeight="1">
      <c r="B59" s="124">
        <v>54</v>
      </c>
      <c r="C59" s="41"/>
      <c r="D59" s="39"/>
      <c r="E59" s="39"/>
      <c r="F59" s="39"/>
      <c r="G59" s="66"/>
      <c r="H59" s="40"/>
      <c r="I59" s="66"/>
      <c r="J59" s="39"/>
      <c r="K59" s="41"/>
      <c r="L59" s="31"/>
      <c r="M59" s="32"/>
      <c r="N59" s="23"/>
    </row>
    <row r="60" spans="2:14" ht="15.75" hidden="1" customHeight="1">
      <c r="B60" s="124">
        <v>55</v>
      </c>
      <c r="C60" s="41"/>
      <c r="D60" s="39"/>
      <c r="E60" s="39"/>
      <c r="F60" s="39"/>
      <c r="G60" s="66"/>
      <c r="H60" s="40"/>
      <c r="I60" s="66"/>
      <c r="J60" s="39"/>
      <c r="K60" s="41"/>
      <c r="L60" s="31"/>
      <c r="M60" s="32"/>
      <c r="N60" s="23"/>
    </row>
    <row r="61" spans="2:14" ht="15.75" hidden="1" customHeight="1">
      <c r="B61" s="124">
        <v>56</v>
      </c>
      <c r="C61" s="41"/>
      <c r="D61" s="39"/>
      <c r="E61" s="39"/>
      <c r="F61" s="39"/>
      <c r="G61" s="66"/>
      <c r="H61" s="40"/>
      <c r="I61" s="66"/>
      <c r="J61" s="39"/>
      <c r="K61" s="41"/>
      <c r="L61" s="31"/>
      <c r="M61" s="32"/>
      <c r="N61" s="23"/>
    </row>
    <row r="62" spans="2:14" ht="15.75" hidden="1" customHeight="1">
      <c r="B62" s="124">
        <v>57</v>
      </c>
      <c r="C62" s="41"/>
      <c r="D62" s="39"/>
      <c r="E62" s="39"/>
      <c r="F62" s="39"/>
      <c r="G62" s="66"/>
      <c r="H62" s="40"/>
      <c r="I62" s="66"/>
      <c r="J62" s="39"/>
      <c r="K62" s="41"/>
      <c r="L62" s="31"/>
      <c r="M62" s="32"/>
      <c r="N62" s="23"/>
    </row>
    <row r="63" spans="2:14" ht="15.75" hidden="1" customHeight="1">
      <c r="B63" s="124">
        <v>58</v>
      </c>
      <c r="C63" s="41"/>
      <c r="D63" s="39"/>
      <c r="E63" s="39"/>
      <c r="F63" s="39"/>
      <c r="G63" s="66"/>
      <c r="H63" s="40"/>
      <c r="I63" s="66"/>
      <c r="J63" s="39"/>
      <c r="K63" s="41"/>
      <c r="L63" s="31"/>
      <c r="M63" s="32"/>
      <c r="N63" s="23"/>
    </row>
    <row r="64" spans="2:14" ht="15.75" hidden="1" customHeight="1">
      <c r="B64" s="124">
        <v>59</v>
      </c>
      <c r="C64" s="41"/>
      <c r="D64" s="39"/>
      <c r="E64" s="39"/>
      <c r="F64" s="39"/>
      <c r="G64" s="66"/>
      <c r="H64" s="40"/>
      <c r="I64" s="66"/>
      <c r="J64" s="39"/>
      <c r="K64" s="41"/>
      <c r="L64" s="31"/>
      <c r="M64" s="32"/>
      <c r="N64" s="23"/>
    </row>
    <row r="65" spans="2:14" ht="15.75" hidden="1" customHeight="1">
      <c r="B65" s="124">
        <v>60</v>
      </c>
      <c r="C65" s="41"/>
      <c r="D65" s="39"/>
      <c r="E65" s="39"/>
      <c r="F65" s="39"/>
      <c r="G65" s="66"/>
      <c r="H65" s="40"/>
      <c r="I65" s="66"/>
      <c r="J65" s="39"/>
      <c r="K65" s="41"/>
      <c r="L65" s="31"/>
      <c r="M65" s="32"/>
      <c r="N65" s="23"/>
    </row>
    <row r="66" spans="2:14" ht="15.75" hidden="1" customHeight="1">
      <c r="B66" s="124">
        <v>61</v>
      </c>
      <c r="C66" s="41"/>
      <c r="D66" s="39"/>
      <c r="E66" s="39"/>
      <c r="F66" s="39"/>
      <c r="G66" s="66"/>
      <c r="H66" s="40"/>
      <c r="I66" s="66"/>
      <c r="J66" s="39"/>
      <c r="K66" s="41"/>
      <c r="L66" s="31"/>
      <c r="M66" s="32"/>
      <c r="N66" s="23"/>
    </row>
    <row r="67" spans="2:14" ht="15.75" hidden="1" customHeight="1">
      <c r="B67" s="124">
        <v>62</v>
      </c>
      <c r="C67" s="41"/>
      <c r="D67" s="39"/>
      <c r="E67" s="39"/>
      <c r="F67" s="39"/>
      <c r="G67" s="66"/>
      <c r="H67" s="40"/>
      <c r="I67" s="66"/>
      <c r="J67" s="39"/>
      <c r="K67" s="41"/>
      <c r="L67" s="31"/>
      <c r="M67" s="32"/>
      <c r="N67" s="23"/>
    </row>
    <row r="68" spans="2:14" ht="15.75" hidden="1" customHeight="1">
      <c r="B68" s="124">
        <v>63</v>
      </c>
      <c r="C68" s="41"/>
      <c r="D68" s="39"/>
      <c r="E68" s="39"/>
      <c r="F68" s="39"/>
      <c r="G68" s="66"/>
      <c r="H68" s="40"/>
      <c r="I68" s="66"/>
      <c r="J68" s="39"/>
      <c r="K68" s="41"/>
      <c r="L68" s="31"/>
      <c r="M68" s="32"/>
      <c r="N68" s="23"/>
    </row>
    <row r="69" spans="2:14" ht="15.75" hidden="1" customHeight="1">
      <c r="B69" s="124">
        <v>64</v>
      </c>
      <c r="C69" s="41"/>
      <c r="D69" s="39"/>
      <c r="E69" s="39"/>
      <c r="F69" s="39"/>
      <c r="G69" s="66"/>
      <c r="H69" s="40"/>
      <c r="I69" s="66"/>
      <c r="J69" s="39"/>
      <c r="K69" s="41"/>
      <c r="L69" s="31"/>
      <c r="M69" s="32"/>
      <c r="N69" s="23"/>
    </row>
    <row r="70" spans="2:14" ht="15.75" hidden="1" customHeight="1">
      <c r="B70" s="124">
        <v>65</v>
      </c>
      <c r="C70" s="41"/>
      <c r="D70" s="39"/>
      <c r="E70" s="39"/>
      <c r="F70" s="39"/>
      <c r="G70" s="66"/>
      <c r="H70" s="40"/>
      <c r="I70" s="66"/>
      <c r="J70" s="39"/>
      <c r="K70" s="41"/>
      <c r="L70" s="31"/>
      <c r="M70" s="32"/>
      <c r="N70" s="23"/>
    </row>
    <row r="71" spans="2:14" ht="15.75" hidden="1" customHeight="1">
      <c r="B71" s="124">
        <v>66</v>
      </c>
      <c r="C71" s="41"/>
      <c r="D71" s="39"/>
      <c r="E71" s="39"/>
      <c r="F71" s="39"/>
      <c r="G71" s="66"/>
      <c r="H71" s="40"/>
      <c r="I71" s="66"/>
      <c r="J71" s="39"/>
      <c r="K71" s="41"/>
      <c r="L71" s="31"/>
      <c r="M71" s="32"/>
      <c r="N71" s="23"/>
    </row>
    <row r="72" spans="2:14" ht="15.75" hidden="1" customHeight="1">
      <c r="B72" s="124">
        <v>67</v>
      </c>
      <c r="C72" s="41"/>
      <c r="D72" s="39"/>
      <c r="E72" s="39"/>
      <c r="F72" s="39"/>
      <c r="G72" s="66"/>
      <c r="H72" s="40"/>
      <c r="I72" s="66"/>
      <c r="J72" s="39"/>
      <c r="K72" s="41"/>
      <c r="L72" s="31"/>
      <c r="M72" s="32"/>
      <c r="N72" s="23"/>
    </row>
    <row r="73" spans="2:14" ht="15.75" hidden="1" customHeight="1">
      <c r="B73" s="124">
        <v>68</v>
      </c>
      <c r="C73" s="41"/>
      <c r="D73" s="39"/>
      <c r="E73" s="39"/>
      <c r="F73" s="39"/>
      <c r="G73" s="66"/>
      <c r="H73" s="40"/>
      <c r="I73" s="66"/>
      <c r="J73" s="39"/>
      <c r="K73" s="41"/>
      <c r="L73" s="31"/>
      <c r="M73" s="32"/>
      <c r="N73" s="23"/>
    </row>
    <row r="74" spans="2:14" ht="15.75" hidden="1" customHeight="1">
      <c r="B74" s="124">
        <v>69</v>
      </c>
      <c r="C74" s="41"/>
      <c r="D74" s="39"/>
      <c r="E74" s="39"/>
      <c r="F74" s="39"/>
      <c r="G74" s="66"/>
      <c r="H74" s="40"/>
      <c r="I74" s="66"/>
      <c r="J74" s="39"/>
      <c r="K74" s="41"/>
      <c r="L74" s="31"/>
      <c r="M74" s="32"/>
      <c r="N74" s="23"/>
    </row>
    <row r="75" spans="2:14" ht="15.75" hidden="1" customHeight="1">
      <c r="B75" s="124">
        <v>70</v>
      </c>
      <c r="C75" s="41"/>
      <c r="D75" s="39"/>
      <c r="E75" s="39"/>
      <c r="F75" s="39"/>
      <c r="G75" s="66"/>
      <c r="H75" s="40"/>
      <c r="I75" s="66"/>
      <c r="J75" s="39"/>
      <c r="K75" s="41"/>
      <c r="L75" s="31"/>
      <c r="M75" s="32"/>
      <c r="N75" s="23"/>
    </row>
    <row r="76" spans="2:14" ht="15.75" hidden="1" customHeight="1">
      <c r="B76" s="124">
        <v>71</v>
      </c>
      <c r="C76" s="41"/>
      <c r="D76" s="39"/>
      <c r="E76" s="39"/>
      <c r="F76" s="39"/>
      <c r="G76" s="66"/>
      <c r="H76" s="40"/>
      <c r="I76" s="66"/>
      <c r="J76" s="39"/>
      <c r="K76" s="41"/>
      <c r="L76" s="31"/>
      <c r="M76" s="32"/>
      <c r="N76" s="23"/>
    </row>
    <row r="77" spans="2:14" ht="15.75" hidden="1" customHeight="1">
      <c r="B77" s="124">
        <v>72</v>
      </c>
      <c r="C77" s="41"/>
      <c r="D77" s="39"/>
      <c r="E77" s="39"/>
      <c r="F77" s="39"/>
      <c r="G77" s="66"/>
      <c r="H77" s="40"/>
      <c r="I77" s="66"/>
      <c r="J77" s="39"/>
      <c r="K77" s="41"/>
      <c r="L77" s="31"/>
      <c r="M77" s="32"/>
      <c r="N77" s="23"/>
    </row>
    <row r="78" spans="2:14" ht="15.75" hidden="1" customHeight="1">
      <c r="B78" s="124">
        <v>73</v>
      </c>
      <c r="C78" s="41"/>
      <c r="D78" s="39"/>
      <c r="E78" s="39"/>
      <c r="F78" s="39"/>
      <c r="G78" s="66"/>
      <c r="H78" s="40"/>
      <c r="I78" s="66"/>
      <c r="J78" s="39"/>
      <c r="K78" s="41"/>
      <c r="L78" s="31"/>
      <c r="M78" s="32"/>
      <c r="N78" s="23"/>
    </row>
    <row r="79" spans="2:14" ht="15.75" hidden="1" customHeight="1">
      <c r="B79" s="124">
        <v>74</v>
      </c>
      <c r="C79" s="41"/>
      <c r="D79" s="39"/>
      <c r="E79" s="39"/>
      <c r="F79" s="39"/>
      <c r="G79" s="66"/>
      <c r="H79" s="40"/>
      <c r="I79" s="66"/>
      <c r="J79" s="39"/>
      <c r="K79" s="41"/>
      <c r="L79" s="31"/>
      <c r="M79" s="32"/>
      <c r="N79" s="23"/>
    </row>
    <row r="80" spans="2:14" ht="15.75" hidden="1" customHeight="1">
      <c r="B80" s="124">
        <v>75</v>
      </c>
      <c r="C80" s="41"/>
      <c r="D80" s="39"/>
      <c r="E80" s="39"/>
      <c r="F80" s="39"/>
      <c r="G80" s="66"/>
      <c r="H80" s="40"/>
      <c r="I80" s="66"/>
      <c r="J80" s="39"/>
      <c r="K80" s="41"/>
      <c r="L80" s="31"/>
      <c r="M80" s="32"/>
      <c r="N80" s="23"/>
    </row>
    <row r="81" spans="2:14" ht="15.75" hidden="1" customHeight="1">
      <c r="B81" s="124">
        <v>76</v>
      </c>
      <c r="C81" s="41"/>
      <c r="D81" s="39"/>
      <c r="E81" s="39"/>
      <c r="F81" s="39"/>
      <c r="G81" s="66"/>
      <c r="H81" s="40"/>
      <c r="I81" s="66"/>
      <c r="J81" s="39"/>
      <c r="K81" s="41"/>
      <c r="L81" s="31"/>
      <c r="M81" s="32"/>
      <c r="N81" s="23"/>
    </row>
    <row r="82" spans="2:14" ht="15.75" hidden="1" customHeight="1">
      <c r="B82" s="124">
        <v>77</v>
      </c>
      <c r="C82" s="41"/>
      <c r="D82" s="39"/>
      <c r="E82" s="39"/>
      <c r="F82" s="39"/>
      <c r="G82" s="66"/>
      <c r="H82" s="40"/>
      <c r="I82" s="66"/>
      <c r="J82" s="39"/>
      <c r="K82" s="41"/>
      <c r="L82" s="31"/>
      <c r="M82" s="32"/>
      <c r="N82" s="23"/>
    </row>
    <row r="83" spans="2:14" ht="15.75" hidden="1" customHeight="1">
      <c r="B83" s="124">
        <v>78</v>
      </c>
      <c r="C83" s="41"/>
      <c r="D83" s="39"/>
      <c r="E83" s="39"/>
      <c r="F83" s="39"/>
      <c r="G83" s="66"/>
      <c r="H83" s="40"/>
      <c r="I83" s="66"/>
      <c r="J83" s="39"/>
      <c r="K83" s="41"/>
      <c r="L83" s="31"/>
      <c r="M83" s="32"/>
      <c r="N83" s="23"/>
    </row>
    <row r="84" spans="2:14" ht="15.75" hidden="1" customHeight="1">
      <c r="B84" s="124">
        <v>79</v>
      </c>
      <c r="C84" s="41"/>
      <c r="D84" s="39"/>
      <c r="E84" s="39"/>
      <c r="F84" s="39"/>
      <c r="G84" s="66"/>
      <c r="H84" s="40"/>
      <c r="I84" s="66"/>
      <c r="J84" s="39"/>
      <c r="K84" s="41"/>
      <c r="L84" s="31"/>
      <c r="M84" s="32"/>
      <c r="N84" s="23"/>
    </row>
    <row r="85" spans="2:14" ht="15.75" hidden="1" customHeight="1">
      <c r="B85" s="124">
        <v>80</v>
      </c>
      <c r="C85" s="41"/>
      <c r="D85" s="39"/>
      <c r="E85" s="39"/>
      <c r="F85" s="39"/>
      <c r="G85" s="66"/>
      <c r="H85" s="40"/>
      <c r="I85" s="66"/>
      <c r="J85" s="39"/>
      <c r="K85" s="41"/>
      <c r="L85" s="31"/>
      <c r="M85" s="32"/>
      <c r="N85" s="23"/>
    </row>
    <row r="86" spans="2:14" ht="15.75" hidden="1" customHeight="1">
      <c r="B86" s="124">
        <v>81</v>
      </c>
      <c r="C86" s="41"/>
      <c r="D86" s="39"/>
      <c r="E86" s="39"/>
      <c r="F86" s="39"/>
      <c r="G86" s="66"/>
      <c r="H86" s="40"/>
      <c r="I86" s="66"/>
      <c r="J86" s="39"/>
      <c r="K86" s="41"/>
      <c r="L86" s="31"/>
      <c r="M86" s="32"/>
      <c r="N86" s="23"/>
    </row>
    <row r="87" spans="2:14" ht="15.75" hidden="1" customHeight="1">
      <c r="B87" s="124">
        <v>82</v>
      </c>
      <c r="C87" s="41"/>
      <c r="D87" s="39"/>
      <c r="E87" s="39"/>
      <c r="F87" s="39"/>
      <c r="G87" s="66"/>
      <c r="H87" s="40"/>
      <c r="I87" s="66"/>
      <c r="J87" s="39"/>
      <c r="K87" s="41"/>
      <c r="L87" s="31"/>
      <c r="M87" s="32"/>
      <c r="N87" s="23"/>
    </row>
    <row r="88" spans="2:14" ht="15.75" hidden="1" customHeight="1">
      <c r="B88" s="124">
        <v>83</v>
      </c>
      <c r="C88" s="41"/>
      <c r="D88" s="39"/>
      <c r="E88" s="39"/>
      <c r="F88" s="39"/>
      <c r="G88" s="66"/>
      <c r="H88" s="40"/>
      <c r="I88" s="66"/>
      <c r="J88" s="39"/>
      <c r="K88" s="41"/>
      <c r="L88" s="31"/>
      <c r="M88" s="32"/>
      <c r="N88" s="23"/>
    </row>
    <row r="89" spans="2:14" ht="15.75" hidden="1" customHeight="1">
      <c r="B89" s="124">
        <v>84</v>
      </c>
      <c r="C89" s="41"/>
      <c r="D89" s="39"/>
      <c r="E89" s="39"/>
      <c r="F89" s="39"/>
      <c r="G89" s="66"/>
      <c r="H89" s="40"/>
      <c r="I89" s="66"/>
      <c r="J89" s="39"/>
      <c r="K89" s="41"/>
      <c r="L89" s="31"/>
      <c r="M89" s="32"/>
      <c r="N89" s="23"/>
    </row>
    <row r="90" spans="2:14" ht="15.75" hidden="1" customHeight="1">
      <c r="B90" s="124">
        <v>85</v>
      </c>
      <c r="C90" s="41"/>
      <c r="D90" s="39"/>
      <c r="E90" s="39"/>
      <c r="F90" s="39"/>
      <c r="G90" s="66"/>
      <c r="H90" s="40"/>
      <c r="I90" s="66"/>
      <c r="J90" s="39"/>
      <c r="K90" s="41"/>
      <c r="L90" s="31"/>
      <c r="M90" s="32"/>
      <c r="N90" s="23"/>
    </row>
    <row r="91" spans="2:14" ht="15.75" hidden="1" customHeight="1">
      <c r="B91" s="124">
        <v>86</v>
      </c>
      <c r="C91" s="41"/>
      <c r="D91" s="39"/>
      <c r="E91" s="39"/>
      <c r="F91" s="39"/>
      <c r="G91" s="66"/>
      <c r="H91" s="40"/>
      <c r="I91" s="66"/>
      <c r="J91" s="39"/>
      <c r="K91" s="41"/>
      <c r="L91" s="31"/>
      <c r="M91" s="32"/>
      <c r="N91" s="23"/>
    </row>
    <row r="92" spans="2:14" ht="15.75" hidden="1" customHeight="1">
      <c r="B92" s="124">
        <v>87</v>
      </c>
      <c r="C92" s="41"/>
      <c r="D92" s="39"/>
      <c r="E92" s="39"/>
      <c r="F92" s="39"/>
      <c r="G92" s="66"/>
      <c r="H92" s="40"/>
      <c r="I92" s="66"/>
      <c r="J92" s="39"/>
      <c r="K92" s="41"/>
      <c r="L92" s="31"/>
      <c r="M92" s="32"/>
      <c r="N92" s="23"/>
    </row>
    <row r="93" spans="2:14" ht="15.75" hidden="1" customHeight="1">
      <c r="B93" s="124">
        <v>88</v>
      </c>
      <c r="C93" s="41"/>
      <c r="D93" s="39"/>
      <c r="E93" s="39"/>
      <c r="F93" s="39"/>
      <c r="G93" s="66"/>
      <c r="H93" s="40"/>
      <c r="I93" s="66"/>
      <c r="J93" s="39"/>
      <c r="K93" s="41"/>
      <c r="L93" s="31"/>
      <c r="M93" s="32"/>
      <c r="N93" s="23"/>
    </row>
    <row r="94" spans="2:14" ht="15.75" hidden="1" customHeight="1">
      <c r="B94" s="124">
        <v>89</v>
      </c>
      <c r="C94" s="41"/>
      <c r="D94" s="39"/>
      <c r="E94" s="39"/>
      <c r="F94" s="39"/>
      <c r="G94" s="66"/>
      <c r="H94" s="40"/>
      <c r="I94" s="66"/>
      <c r="J94" s="39"/>
      <c r="K94" s="41"/>
      <c r="L94" s="31"/>
      <c r="M94" s="32"/>
      <c r="N94" s="23"/>
    </row>
    <row r="95" spans="2:14" ht="15.75" hidden="1" customHeight="1">
      <c r="B95" s="124">
        <v>90</v>
      </c>
      <c r="C95" s="41"/>
      <c r="D95" s="39"/>
      <c r="E95" s="39"/>
      <c r="F95" s="39"/>
      <c r="G95" s="66"/>
      <c r="H95" s="40"/>
      <c r="I95" s="66"/>
      <c r="J95" s="39"/>
      <c r="K95" s="41"/>
      <c r="L95" s="31"/>
      <c r="M95" s="32"/>
      <c r="N95" s="23"/>
    </row>
    <row r="96" spans="2:14" ht="15.75" hidden="1" customHeight="1">
      <c r="B96" s="124">
        <v>91</v>
      </c>
      <c r="C96" s="41"/>
      <c r="D96" s="39"/>
      <c r="E96" s="39"/>
      <c r="F96" s="39"/>
      <c r="G96" s="66"/>
      <c r="H96" s="40"/>
      <c r="I96" s="66"/>
      <c r="J96" s="39"/>
      <c r="K96" s="41"/>
      <c r="L96" s="31"/>
      <c r="M96" s="32"/>
      <c r="N96" s="24"/>
    </row>
    <row r="97" spans="2:14" ht="15.75" hidden="1" customHeight="1">
      <c r="B97" s="124">
        <v>92</v>
      </c>
      <c r="C97" s="41"/>
      <c r="D97" s="39"/>
      <c r="E97" s="39"/>
      <c r="F97" s="39"/>
      <c r="G97" s="66"/>
      <c r="H97" s="40"/>
      <c r="I97" s="66"/>
      <c r="J97" s="39"/>
      <c r="K97" s="41"/>
      <c r="L97" s="31"/>
      <c r="M97" s="32"/>
      <c r="N97" s="24"/>
    </row>
    <row r="98" spans="2:14" ht="15.75" hidden="1" customHeight="1">
      <c r="B98" s="124">
        <v>93</v>
      </c>
      <c r="C98" s="41"/>
      <c r="D98" s="39"/>
      <c r="E98" s="39"/>
      <c r="F98" s="39"/>
      <c r="G98" s="66"/>
      <c r="H98" s="40"/>
      <c r="I98" s="66"/>
      <c r="J98" s="39"/>
      <c r="K98" s="41"/>
      <c r="L98" s="31"/>
      <c r="M98" s="32"/>
      <c r="N98" s="24"/>
    </row>
    <row r="99" spans="2:14" ht="15.75" hidden="1" customHeight="1">
      <c r="B99" s="124">
        <v>94</v>
      </c>
      <c r="C99" s="41"/>
      <c r="D99" s="39"/>
      <c r="E99" s="39"/>
      <c r="F99" s="39"/>
      <c r="G99" s="66"/>
      <c r="H99" s="40"/>
      <c r="I99" s="66"/>
      <c r="J99" s="39"/>
      <c r="K99" s="41"/>
      <c r="L99" s="31"/>
      <c r="M99" s="32"/>
      <c r="N99" s="24"/>
    </row>
    <row r="100" spans="2:14" ht="15.75" hidden="1" customHeight="1">
      <c r="B100" s="124">
        <v>95</v>
      </c>
      <c r="C100" s="41"/>
      <c r="D100" s="39"/>
      <c r="E100" s="39"/>
      <c r="F100" s="39"/>
      <c r="G100" s="66"/>
      <c r="H100" s="40"/>
      <c r="I100" s="66"/>
      <c r="J100" s="39"/>
      <c r="K100" s="41"/>
      <c r="L100" s="31"/>
      <c r="M100" s="32"/>
      <c r="N100" s="24"/>
    </row>
    <row r="101" spans="2:14" ht="15.75" hidden="1" customHeight="1">
      <c r="B101" s="124">
        <v>96</v>
      </c>
      <c r="C101" s="41"/>
      <c r="D101" s="39"/>
      <c r="E101" s="39"/>
      <c r="F101" s="39"/>
      <c r="G101" s="66"/>
      <c r="H101" s="40"/>
      <c r="I101" s="66"/>
      <c r="J101" s="39"/>
      <c r="K101" s="41"/>
      <c r="L101" s="31"/>
      <c r="M101" s="32"/>
      <c r="N101" s="24"/>
    </row>
    <row r="102" spans="2:14" ht="15.75" hidden="1" customHeight="1">
      <c r="B102" s="124">
        <v>97</v>
      </c>
      <c r="C102" s="41"/>
      <c r="D102" s="39"/>
      <c r="E102" s="39"/>
      <c r="F102" s="39"/>
      <c r="G102" s="66"/>
      <c r="H102" s="40"/>
      <c r="I102" s="66"/>
      <c r="J102" s="39"/>
      <c r="K102" s="41"/>
      <c r="L102" s="31"/>
      <c r="M102" s="32"/>
      <c r="N102" s="24"/>
    </row>
    <row r="103" spans="2:14" ht="15.75" hidden="1" customHeight="1">
      <c r="B103" s="124">
        <v>98</v>
      </c>
      <c r="C103" s="41"/>
      <c r="D103" s="39"/>
      <c r="E103" s="39"/>
      <c r="F103" s="39"/>
      <c r="G103" s="66"/>
      <c r="H103" s="40"/>
      <c r="I103" s="66"/>
      <c r="J103" s="39"/>
      <c r="K103" s="41"/>
      <c r="L103" s="31"/>
      <c r="M103" s="32"/>
      <c r="N103" s="24"/>
    </row>
    <row r="104" spans="2:14" ht="15.75" hidden="1" customHeight="1">
      <c r="B104" s="124">
        <v>99</v>
      </c>
      <c r="C104" s="41"/>
      <c r="D104" s="39"/>
      <c r="E104" s="39"/>
      <c r="F104" s="39"/>
      <c r="G104" s="66"/>
      <c r="H104" s="40"/>
      <c r="I104" s="66"/>
      <c r="J104" s="39"/>
      <c r="K104" s="41"/>
      <c r="L104" s="31"/>
      <c r="M104" s="32"/>
      <c r="N104" s="24"/>
    </row>
    <row r="105" spans="2:14" ht="15.75" hidden="1" customHeight="1">
      <c r="B105" s="124">
        <v>100</v>
      </c>
      <c r="C105" s="41"/>
      <c r="D105" s="39"/>
      <c r="E105" s="39"/>
      <c r="F105" s="39"/>
      <c r="G105" s="66"/>
      <c r="H105" s="40"/>
      <c r="I105" s="66"/>
      <c r="J105" s="39"/>
      <c r="K105" s="41"/>
      <c r="L105" s="31"/>
      <c r="M105" s="32"/>
      <c r="N105" s="24"/>
    </row>
    <row r="106" spans="2:14" ht="21" customHeight="1">
      <c r="B106" s="161" t="s">
        <v>82</v>
      </c>
      <c r="C106" s="162"/>
      <c r="D106" s="163" t="str">
        <f>IF(TRIM(SUM($I$6:$I$105))="","",IF(SUM($I$6:$I$105)=0,"","(RMB)"&amp;IF(SUM($I$6:$I$105)&lt;0,"负",)&amp;IF(INT(SUM($I$6:$I$105)),TEXT(INT(ABS(SUM($I$6:$I$105))),"[DBNum2]")&amp;"元",)&amp;IF(INT(ABS(SUM($I$6:$I$105))*10)-INT(ABS(SUM($I$6:$I$105)))*10,TEXT(INT(ABS(SUM($I$6:$I$105))*10)-INT(ABS(SUM($I$6:$I$105)))*10,"[DBNum2]")&amp;"角",IF(INT(ABS(SUM($I$6:$I$105)))=ABS(SUM($I$6:$I$105)),,IF(ABS(SUM($I$6:$I$105))&lt;0.1,,"零")))&amp;IF(ROUND(ABS(SUM($I$6:$I$105))*100-INT(ABS(SUM($I$6:$I$105))*10)*10,),TEXT(ROUND(ABS(SUM($I$6:$I$105))*100-INT(ABS(SUM($I$6:$I$105))*10)*10,),"[DBNum2]")&amp;"分","整")))</f>
        <v/>
      </c>
      <c r="E106" s="163"/>
      <c r="F106" s="163"/>
      <c r="G106" s="163"/>
      <c r="H106" s="164"/>
      <c r="I106" s="161" t="s">
        <v>83</v>
      </c>
      <c r="J106" s="162"/>
      <c r="K106" s="61" t="str">
        <f>IF(SUM(I6:I105)=0,"",SUM(I6:I105))</f>
        <v/>
      </c>
      <c r="L106" s="31"/>
      <c r="M106" s="32"/>
      <c r="N106" s="24"/>
    </row>
    <row r="107" spans="2:14" ht="21" customHeight="1">
      <c r="B107" s="95"/>
      <c r="C107" s="96"/>
      <c r="D107" s="97" t="s">
        <v>225</v>
      </c>
      <c r="E107" s="65" t="s">
        <v>41</v>
      </c>
      <c r="F107" s="98"/>
      <c r="G107" s="98"/>
      <c r="H107" s="98"/>
      <c r="I107" s="155" t="s">
        <v>39</v>
      </c>
      <c r="J107" s="155"/>
      <c r="K107" s="26" t="s">
        <v>41</v>
      </c>
      <c r="L107" s="31"/>
      <c r="M107" s="32"/>
      <c r="N107" s="25"/>
    </row>
    <row r="108" spans="2:14" ht="3.75" customHeight="1">
      <c r="B108" s="99"/>
      <c r="C108" s="100"/>
      <c r="D108" s="99"/>
      <c r="E108" s="101"/>
      <c r="F108" s="99"/>
      <c r="G108" s="102"/>
      <c r="H108" s="99"/>
      <c r="I108" s="99"/>
      <c r="J108" s="99"/>
      <c r="K108" s="99"/>
      <c r="L108" s="31"/>
      <c r="M108" s="32"/>
      <c r="N108" s="20"/>
    </row>
    <row r="109" spans="2:14" s="31" customFormat="1" ht="18" customHeight="1">
      <c r="B109" s="99"/>
      <c r="C109" s="100"/>
      <c r="D109" s="99"/>
      <c r="E109" s="101"/>
      <c r="F109" s="99"/>
      <c r="G109" s="99"/>
      <c r="H109" s="99"/>
      <c r="I109" s="99"/>
      <c r="J109" s="99"/>
      <c r="K109" s="99"/>
      <c r="M109" s="32"/>
      <c r="N109" s="32"/>
    </row>
  </sheetData>
  <sheetProtection sheet="1" objects="1" scenarios="1" formatCells="0" formatColumns="0" formatRows="0"/>
  <mergeCells count="10">
    <mergeCell ref="D2:I3"/>
    <mergeCell ref="D1:I1"/>
    <mergeCell ref="I106:J106"/>
    <mergeCell ref="I107:J107"/>
    <mergeCell ref="B106:C106"/>
    <mergeCell ref="D106:H106"/>
    <mergeCell ref="B4:C4"/>
    <mergeCell ref="D4:E4"/>
    <mergeCell ref="F4:G4"/>
    <mergeCell ref="H4:I4"/>
  </mergeCells>
  <phoneticPr fontId="2" type="noConversion"/>
  <dataValidations count="1">
    <dataValidation imeMode="on" allowBlank="1" showInputMessage="1" showErrorMessage="1" sqref="B106"/>
  </dataValidations>
  <printOptions horizontalCentered="1"/>
  <pageMargins left="0" right="0" top="0.19685039370078741" bottom="0.19685039370078741" header="0.51181102362204722" footer="0.51181102362204722"/>
  <pageSetup paperSize="9" orientation="portrait" blackAndWhite="1" r:id="rId1"/>
  <headerFooter alignWithMargins="0"/>
  <drawing r:id="rId2"/>
  <legacyDrawing r:id="rId3"/>
  <picture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50"/>
  </sheetPr>
  <dimension ref="A1:P1"/>
  <sheetViews>
    <sheetView workbookViewId="0">
      <pane ySplit="1" topLeftCell="A2" activePane="bottomLeft" state="frozen"/>
      <selection pane="bottomLeft" activeCell="A6" sqref="A6"/>
    </sheetView>
  </sheetViews>
  <sheetFormatPr defaultColWidth="10.5" defaultRowHeight="20.100000000000001" customHeight="1"/>
  <cols>
    <col min="1" max="1" width="5.5" style="67" bestFit="1" customWidth="1"/>
    <col min="2" max="2" width="10" style="196" bestFit="1" customWidth="1"/>
    <col min="3" max="3" width="9" style="196" bestFit="1" customWidth="1"/>
    <col min="4" max="4" width="5.25" style="67" bestFit="1" customWidth="1"/>
    <col min="5" max="7" width="5.25" style="145" bestFit="1" customWidth="1"/>
    <col min="8" max="8" width="6.25" style="67" bestFit="1" customWidth="1"/>
    <col min="9" max="10" width="9" style="67" bestFit="1" customWidth="1"/>
    <col min="11" max="11" width="11.625" style="67" bestFit="1" customWidth="1"/>
    <col min="12" max="12" width="12.125" style="15" bestFit="1" customWidth="1"/>
    <col min="13" max="14" width="7.125" style="67" bestFit="1" customWidth="1"/>
    <col min="15" max="15" width="12.75" style="67" bestFit="1" customWidth="1"/>
    <col min="16" max="16" width="5.25" style="196" bestFit="1" customWidth="1"/>
    <col min="17" max="16384" width="10.5" style="197"/>
  </cols>
  <sheetData>
    <row r="1" spans="1:16" s="195" customFormat="1" ht="43.5" customHeight="1">
      <c r="A1" s="193" t="s">
        <v>8</v>
      </c>
      <c r="B1" s="193" t="s">
        <v>49</v>
      </c>
      <c r="C1" s="193" t="s">
        <v>50</v>
      </c>
      <c r="D1" s="193" t="s">
        <v>9</v>
      </c>
      <c r="E1" s="194" t="s">
        <v>10</v>
      </c>
      <c r="F1" s="194" t="s">
        <v>11</v>
      </c>
      <c r="G1" s="194" t="s">
        <v>12</v>
      </c>
      <c r="H1" s="193" t="s">
        <v>70</v>
      </c>
      <c r="I1" s="193" t="s">
        <v>13</v>
      </c>
      <c r="J1" s="193" t="s">
        <v>167</v>
      </c>
      <c r="K1" s="193" t="s">
        <v>208</v>
      </c>
      <c r="L1" s="193" t="s">
        <v>15</v>
      </c>
      <c r="M1" s="193" t="s">
        <v>16</v>
      </c>
      <c r="N1" s="193" t="s">
        <v>22</v>
      </c>
      <c r="O1" s="193" t="s">
        <v>17</v>
      </c>
      <c r="P1" s="193" t="s">
        <v>56</v>
      </c>
    </row>
  </sheetData>
  <sheetProtection formatCells="0" formatColumns="0" formatRows="0" insertRows="0" deleteRows="0" sort="0" autoFilter="0"/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6"/>
  <sheetViews>
    <sheetView workbookViewId="0">
      <pane ySplit="2" topLeftCell="A3" activePane="bottomLeft" state="frozen"/>
      <selection pane="bottomLeft" activeCell="D11" sqref="D11"/>
    </sheetView>
  </sheetViews>
  <sheetFormatPr defaultRowHeight="14.25"/>
  <cols>
    <col min="1" max="1" width="11" style="46" customWidth="1"/>
    <col min="2" max="3" width="9" style="46"/>
    <col min="4" max="13" width="8.25" style="47" customWidth="1"/>
    <col min="14" max="16384" width="9" style="1"/>
  </cols>
  <sheetData>
    <row r="1" spans="1:13">
      <c r="A1" s="167" t="s">
        <v>14</v>
      </c>
      <c r="B1" s="167" t="s">
        <v>17</v>
      </c>
      <c r="C1" s="167" t="s">
        <v>229</v>
      </c>
      <c r="D1" s="167" t="s">
        <v>136</v>
      </c>
      <c r="E1" s="167"/>
      <c r="F1" s="167"/>
      <c r="G1" s="167" t="s">
        <v>137</v>
      </c>
      <c r="H1" s="167"/>
      <c r="I1" s="167"/>
      <c r="J1" s="167"/>
      <c r="K1" s="167" t="s">
        <v>138</v>
      </c>
      <c r="L1" s="167"/>
      <c r="M1" s="167"/>
    </row>
    <row r="2" spans="1:13">
      <c r="A2" s="167"/>
      <c r="B2" s="167"/>
      <c r="C2" s="167"/>
      <c r="D2" s="45" t="s">
        <v>11</v>
      </c>
      <c r="E2" s="45" t="s">
        <v>10</v>
      </c>
      <c r="F2" s="45" t="s">
        <v>12</v>
      </c>
      <c r="G2" s="45" t="s">
        <v>11</v>
      </c>
      <c r="H2" s="45" t="s">
        <v>75</v>
      </c>
      <c r="I2" s="45" t="s">
        <v>10</v>
      </c>
      <c r="J2" s="45" t="s">
        <v>12</v>
      </c>
      <c r="K2" s="45" t="s">
        <v>11</v>
      </c>
      <c r="L2" s="45" t="s">
        <v>74</v>
      </c>
      <c r="M2" s="45" t="s">
        <v>12</v>
      </c>
    </row>
    <row r="6" spans="1:13">
      <c r="B6" s="48"/>
      <c r="C6" s="48"/>
    </row>
  </sheetData>
  <mergeCells count="6">
    <mergeCell ref="K1:M1"/>
    <mergeCell ref="A1:A2"/>
    <mergeCell ref="B1:B2"/>
    <mergeCell ref="C1:C2"/>
    <mergeCell ref="D1:F1"/>
    <mergeCell ref="G1:J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indexed="11"/>
  </sheetPr>
  <dimension ref="A1:O7"/>
  <sheetViews>
    <sheetView workbookViewId="0">
      <pane ySplit="6" topLeftCell="A7" activePane="bottomLeft" state="frozen"/>
      <selection pane="bottomLeft" activeCell="J18" sqref="J18"/>
    </sheetView>
  </sheetViews>
  <sheetFormatPr defaultRowHeight="14.25" customHeight="1"/>
  <cols>
    <col min="1" max="1" width="11.625" style="70" bestFit="1" customWidth="1"/>
    <col min="2" max="2" width="12.75" style="70" bestFit="1" customWidth="1"/>
    <col min="3" max="3" width="15.875" style="125" customWidth="1"/>
    <col min="4" max="4" width="5.25" style="69" bestFit="1" customWidth="1"/>
    <col min="5" max="5" width="7.25" style="112" customWidth="1"/>
    <col min="6" max="6" width="8.5" style="112" bestFit="1" customWidth="1"/>
    <col min="7" max="7" width="5.25" style="69" bestFit="1" customWidth="1"/>
    <col min="8" max="8" width="8.5" style="112" bestFit="1" customWidth="1"/>
    <col min="9" max="9" width="7.25" style="112" customWidth="1"/>
    <col min="10" max="10" width="8.5" style="112" bestFit="1" customWidth="1"/>
    <col min="11" max="11" width="7.5" style="69" bestFit="1" customWidth="1"/>
    <col min="12" max="12" width="7.5" style="112" customWidth="1"/>
    <col min="13" max="13" width="8.5" style="112" bestFit="1" customWidth="1"/>
    <col min="14" max="15" width="9" style="37"/>
    <col min="16" max="16384" width="9" style="1"/>
  </cols>
  <sheetData>
    <row r="1" spans="1:15" ht="27.95" customHeight="1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1"/>
      <c r="O1" s="1"/>
    </row>
    <row r="2" spans="1:15" s="10" customFormat="1" ht="15.95" customHeight="1">
      <c r="A2" s="110" t="s">
        <v>23</v>
      </c>
      <c r="B2" s="110" t="s">
        <v>24</v>
      </c>
      <c r="C2" s="110" t="s">
        <v>144</v>
      </c>
      <c r="D2" s="174" t="s">
        <v>145</v>
      </c>
      <c r="E2" s="174"/>
      <c r="F2" s="174"/>
      <c r="G2" s="174" t="s">
        <v>146</v>
      </c>
      <c r="H2" s="174"/>
      <c r="I2" s="110" t="s">
        <v>149</v>
      </c>
      <c r="J2" s="174" t="s">
        <v>148</v>
      </c>
      <c r="K2" s="174"/>
      <c r="L2" s="174" t="s">
        <v>147</v>
      </c>
      <c r="M2" s="174"/>
    </row>
    <row r="3" spans="1:15" s="10" customFormat="1" ht="15.95" customHeight="1">
      <c r="A3" s="111" t="s">
        <v>41</v>
      </c>
      <c r="B3" s="111" t="s">
        <v>41</v>
      </c>
      <c r="C3" s="111" t="s">
        <v>41</v>
      </c>
      <c r="D3" s="173" t="s">
        <v>41</v>
      </c>
      <c r="E3" s="173"/>
      <c r="F3" s="173"/>
      <c r="G3" s="173" t="s">
        <v>41</v>
      </c>
      <c r="H3" s="173"/>
      <c r="I3" s="109" t="s">
        <v>41</v>
      </c>
      <c r="J3" s="173" t="s">
        <v>41</v>
      </c>
      <c r="K3" s="173"/>
      <c r="L3" s="173" t="s">
        <v>41</v>
      </c>
      <c r="M3" s="173"/>
    </row>
    <row r="4" spans="1:15" s="44" customFormat="1" ht="2.1" customHeight="1">
      <c r="A4" s="75"/>
      <c r="B4" s="75"/>
      <c r="C4" s="75"/>
      <c r="D4" s="76"/>
      <c r="E4" s="77"/>
      <c r="F4" s="77"/>
      <c r="G4" s="76"/>
      <c r="H4" s="77"/>
      <c r="I4" s="77"/>
      <c r="J4" s="77"/>
      <c r="K4" s="76"/>
      <c r="L4" s="77"/>
      <c r="M4" s="77"/>
    </row>
    <row r="5" spans="1:15">
      <c r="A5" s="170" t="s">
        <v>135</v>
      </c>
      <c r="B5" s="170" t="s">
        <v>17</v>
      </c>
      <c r="C5" s="171" t="s">
        <v>229</v>
      </c>
      <c r="D5" s="168" t="s">
        <v>200</v>
      </c>
      <c r="E5" s="169"/>
      <c r="F5" s="171"/>
      <c r="G5" s="168" t="s">
        <v>201</v>
      </c>
      <c r="H5" s="169"/>
      <c r="I5" s="170"/>
      <c r="J5" s="171"/>
      <c r="K5" s="168" t="s">
        <v>138</v>
      </c>
      <c r="L5" s="169"/>
      <c r="M5" s="170"/>
      <c r="N5" s="1"/>
      <c r="O5" s="1"/>
    </row>
    <row r="6" spans="1:15">
      <c r="A6" s="167"/>
      <c r="B6" s="167"/>
      <c r="C6" s="172"/>
      <c r="D6" s="63" t="s">
        <v>139</v>
      </c>
      <c r="E6" s="64" t="s">
        <v>140</v>
      </c>
      <c r="F6" s="108" t="s">
        <v>141</v>
      </c>
      <c r="G6" s="63" t="s">
        <v>139</v>
      </c>
      <c r="H6" s="64" t="s">
        <v>143</v>
      </c>
      <c r="I6" s="45" t="s">
        <v>140</v>
      </c>
      <c r="J6" s="108" t="s">
        <v>141</v>
      </c>
      <c r="K6" s="63" t="s">
        <v>139</v>
      </c>
      <c r="L6" s="64" t="s">
        <v>142</v>
      </c>
      <c r="M6" s="45" t="s">
        <v>141</v>
      </c>
    </row>
    <row r="7" spans="1:15" ht="14.25" customHeight="1">
      <c r="C7" s="70"/>
    </row>
  </sheetData>
  <sheetProtection sheet="1" objects="1" scenarios="1" formatCells="0" formatColumns="0" formatRows="0" autoFilter="0"/>
  <protectedRanges>
    <protectedRange sqref="A3:B4" name="区域1"/>
  </protectedRanges>
  <mergeCells count="14">
    <mergeCell ref="D3:F3"/>
    <mergeCell ref="G3:H3"/>
    <mergeCell ref="G2:H2"/>
    <mergeCell ref="D2:F2"/>
    <mergeCell ref="L2:M2"/>
    <mergeCell ref="L3:M3"/>
    <mergeCell ref="J2:K2"/>
    <mergeCell ref="J3:K3"/>
    <mergeCell ref="K5:M5"/>
    <mergeCell ref="A5:A6"/>
    <mergeCell ref="B5:B6"/>
    <mergeCell ref="C5:C6"/>
    <mergeCell ref="D5:F5"/>
    <mergeCell ref="G5:J5"/>
  </mergeCells>
  <phoneticPr fontId="2" type="noConversion"/>
  <printOptions horizontalCentered="1"/>
  <pageMargins left="0" right="0" top="0.39370078740157483" bottom="0.39370078740157483" header="0.51181102362204722" footer="0.51181102362204722"/>
  <pageSetup paperSize="9" orientation="landscape" blackAndWhite="1" horizontalDpi="300" verticalDpi="300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</sheetPr>
  <dimension ref="A1:J11"/>
  <sheetViews>
    <sheetView workbookViewId="0">
      <pane ySplit="5" topLeftCell="A6" activePane="bottomLeft" state="frozen"/>
      <selection pane="bottomLeft" activeCell="F18" sqref="F18"/>
    </sheetView>
  </sheetViews>
  <sheetFormatPr defaultRowHeight="13.5"/>
  <cols>
    <col min="1" max="1" width="7.25" style="151" bestFit="1" customWidth="1"/>
    <col min="2" max="3" width="11" style="152" bestFit="1" customWidth="1"/>
    <col min="4" max="5" width="7.25" style="151" bestFit="1" customWidth="1"/>
    <col min="6" max="7" width="11" style="151" bestFit="1" customWidth="1"/>
    <col min="8" max="9" width="11" style="153" bestFit="1" customWidth="1"/>
    <col min="10" max="10" width="11" style="151" bestFit="1" customWidth="1"/>
    <col min="11" max="16384" width="9" style="9"/>
  </cols>
  <sheetData>
    <row r="1" spans="1:10" ht="6.95" customHeight="1">
      <c r="A1" s="11"/>
      <c r="B1" s="12"/>
      <c r="C1" s="27"/>
      <c r="D1" s="11"/>
      <c r="E1" s="11"/>
      <c r="F1" s="11"/>
      <c r="G1" s="11"/>
      <c r="H1" s="11"/>
      <c r="I1" s="11"/>
      <c r="J1" s="11"/>
    </row>
    <row r="2" spans="1:10" ht="6.95" customHeight="1">
      <c r="A2" s="11"/>
      <c r="B2" s="12"/>
      <c r="C2" s="11"/>
      <c r="D2" s="11"/>
      <c r="E2" s="11"/>
      <c r="F2" s="11"/>
      <c r="G2" s="11"/>
      <c r="H2" s="11"/>
      <c r="I2" s="11"/>
      <c r="J2" s="11"/>
    </row>
    <row r="3" spans="1:10" ht="6.95" customHeight="1">
      <c r="A3" s="11"/>
      <c r="B3" s="12"/>
      <c r="C3" s="11"/>
      <c r="D3" s="11"/>
      <c r="E3" s="11"/>
      <c r="F3" s="11"/>
      <c r="G3" s="11"/>
      <c r="H3" s="11"/>
      <c r="I3" s="11"/>
      <c r="J3" s="11"/>
    </row>
    <row r="4" spans="1:10" ht="6.95" customHeight="1">
      <c r="A4" s="11"/>
      <c r="B4" s="12"/>
      <c r="C4" s="28"/>
      <c r="D4" s="28"/>
      <c r="E4" s="28"/>
      <c r="F4" s="28"/>
      <c r="G4" s="28"/>
      <c r="H4" s="28"/>
      <c r="I4" s="123"/>
      <c r="J4" s="11"/>
    </row>
    <row r="5" spans="1:10" ht="20.100000000000001" customHeight="1">
      <c r="A5" s="62" t="s">
        <v>58</v>
      </c>
      <c r="B5" s="62" t="s">
        <v>59</v>
      </c>
      <c r="C5" s="62" t="s">
        <v>60</v>
      </c>
      <c r="D5" s="62" t="s">
        <v>61</v>
      </c>
      <c r="E5" s="62" t="s">
        <v>72</v>
      </c>
      <c r="F5" s="62" t="s">
        <v>62</v>
      </c>
      <c r="G5" s="62" t="s">
        <v>63</v>
      </c>
      <c r="H5" s="62" t="s">
        <v>151</v>
      </c>
      <c r="I5" s="62" t="s">
        <v>152</v>
      </c>
      <c r="J5" s="62" t="s">
        <v>64</v>
      </c>
    </row>
    <row r="6" spans="1:10" ht="18" customHeight="1"/>
    <row r="7" spans="1:10" ht="18" customHeight="1"/>
    <row r="8" spans="1:10" ht="18" customHeight="1"/>
    <row r="9" spans="1:10" ht="18" customHeight="1"/>
    <row r="10" spans="1:10" ht="18" customHeight="1"/>
    <row r="11" spans="1:10" ht="18" customHeight="1"/>
  </sheetData>
  <sheetProtection sheet="1" objects="1" scenarios="1" formatCells="0" formatColumns="0" formatRows="0" sort="0" autoFilter="0"/>
  <protectedRanges>
    <protectedRange sqref="A6:J65457" name="区域1"/>
  </protectedRanges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indexed="44"/>
  </sheetPr>
  <dimension ref="A1:P6"/>
  <sheetViews>
    <sheetView zoomScaleNormal="100" workbookViewId="0">
      <pane ySplit="6" topLeftCell="A7" activePane="bottomLeft" state="frozen"/>
      <selection pane="bottomLeft" activeCell="I18" sqref="I18"/>
    </sheetView>
  </sheetViews>
  <sheetFormatPr defaultRowHeight="20.100000000000001" customHeight="1"/>
  <cols>
    <col min="1" max="1" width="10" style="70" bestFit="1" customWidth="1"/>
    <col min="2" max="2" width="11.125" style="73" customWidth="1"/>
    <col min="3" max="3" width="10" style="68" bestFit="1" customWidth="1"/>
    <col min="4" max="4" width="5.25" style="70" bestFit="1" customWidth="1"/>
    <col min="5" max="5" width="9" style="70" bestFit="1"/>
    <col min="6" max="6" width="7.25" style="69" bestFit="1" customWidth="1"/>
    <col min="7" max="7" width="8.5" style="112" bestFit="1" customWidth="1"/>
    <col min="8" max="8" width="7.25" style="69" bestFit="1" customWidth="1"/>
    <col min="9" max="9" width="8.5" style="112" bestFit="1" customWidth="1"/>
    <col min="10" max="10" width="7.25" style="69" bestFit="1" customWidth="1"/>
    <col min="11" max="13" width="7.25" style="112" bestFit="1" customWidth="1"/>
    <col min="14" max="14" width="7.25" style="69" bestFit="1" customWidth="1"/>
    <col min="15" max="15" width="8.5" style="112" bestFit="1" customWidth="1"/>
    <col min="16" max="16" width="9" style="49"/>
    <col min="17" max="16384" width="9" style="36"/>
  </cols>
  <sheetData>
    <row r="1" spans="1:16" ht="14.1" customHeight="1">
      <c r="A1" s="85"/>
      <c r="B1" s="72"/>
      <c r="C1" s="85"/>
      <c r="D1" s="85"/>
      <c r="E1" s="85"/>
      <c r="F1" s="85"/>
      <c r="G1" s="113"/>
      <c r="H1" s="85"/>
      <c r="I1" s="85"/>
      <c r="J1" s="85"/>
      <c r="K1" s="85"/>
      <c r="L1" s="85"/>
      <c r="M1" s="85"/>
      <c r="N1" s="85"/>
      <c r="O1" s="11"/>
      <c r="P1" s="36"/>
    </row>
    <row r="2" spans="1:16" ht="14.1" customHeight="1">
      <c r="A2" s="85"/>
      <c r="B2" s="72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11"/>
      <c r="P2" s="36"/>
    </row>
    <row r="3" spans="1:16" ht="20.100000000000001" customHeight="1">
      <c r="A3" s="79" t="s">
        <v>69</v>
      </c>
      <c r="B3" s="83" t="s">
        <v>41</v>
      </c>
      <c r="C3" s="80" t="s">
        <v>150</v>
      </c>
      <c r="D3" s="175" t="s">
        <v>41</v>
      </c>
      <c r="E3" s="175"/>
      <c r="F3" s="114"/>
      <c r="G3" s="114"/>
      <c r="H3" s="114"/>
      <c r="I3" s="114"/>
      <c r="J3" s="114"/>
      <c r="K3" s="114"/>
      <c r="L3" s="114"/>
      <c r="M3" s="114"/>
      <c r="N3" s="114"/>
      <c r="O3" s="115"/>
      <c r="P3" s="36"/>
    </row>
    <row r="4" spans="1:16" s="49" customFormat="1" ht="1.5" customHeight="1">
      <c r="A4" s="82"/>
      <c r="B4" s="82"/>
      <c r="C4" s="82"/>
      <c r="D4" s="82"/>
      <c r="E4" s="82"/>
      <c r="F4" s="116"/>
      <c r="G4" s="82"/>
      <c r="H4" s="116"/>
      <c r="I4" s="116"/>
      <c r="J4" s="116"/>
      <c r="K4" s="82"/>
      <c r="L4" s="82"/>
      <c r="M4" s="82"/>
      <c r="N4" s="116"/>
      <c r="O4" s="82"/>
    </row>
    <row r="5" spans="1:16" ht="13.5">
      <c r="A5" s="184" t="s">
        <v>164</v>
      </c>
      <c r="B5" s="185" t="s">
        <v>43</v>
      </c>
      <c r="C5" s="185" t="s">
        <v>44</v>
      </c>
      <c r="D5" s="185" t="s">
        <v>9</v>
      </c>
      <c r="E5" s="176" t="s">
        <v>78</v>
      </c>
      <c r="F5" s="179" t="s">
        <v>18</v>
      </c>
      <c r="G5" s="183"/>
      <c r="H5" s="178" t="s">
        <v>19</v>
      </c>
      <c r="I5" s="178"/>
      <c r="J5" s="179" t="s">
        <v>20</v>
      </c>
      <c r="K5" s="180"/>
      <c r="L5" s="181"/>
      <c r="M5" s="182"/>
      <c r="N5" s="179" t="s">
        <v>21</v>
      </c>
      <c r="O5" s="180"/>
    </row>
    <row r="6" spans="1:16" ht="13.5">
      <c r="A6" s="185"/>
      <c r="B6" s="186"/>
      <c r="C6" s="186"/>
      <c r="D6" s="186"/>
      <c r="E6" s="177"/>
      <c r="F6" s="117" t="s">
        <v>11</v>
      </c>
      <c r="G6" s="118" t="s">
        <v>12</v>
      </c>
      <c r="H6" s="119" t="s">
        <v>11</v>
      </c>
      <c r="I6" s="118" t="s">
        <v>202</v>
      </c>
      <c r="J6" s="117" t="s">
        <v>11</v>
      </c>
      <c r="K6" s="120" t="s">
        <v>75</v>
      </c>
      <c r="L6" s="121" t="s">
        <v>76</v>
      </c>
      <c r="M6" s="122" t="s">
        <v>77</v>
      </c>
      <c r="N6" s="117" t="s">
        <v>79</v>
      </c>
      <c r="O6" s="120" t="s">
        <v>80</v>
      </c>
    </row>
  </sheetData>
  <sheetProtection sheet="1" objects="1" scenarios="1" formatCells="0" formatColumns="0" formatRows="0"/>
  <protectedRanges>
    <protectedRange sqref="A7:O65536" name="区域1"/>
    <protectedRange sqref="B3:B4 D3:E4" name="区域2"/>
  </protectedRanges>
  <mergeCells count="10">
    <mergeCell ref="A5:A6"/>
    <mergeCell ref="B5:B6"/>
    <mergeCell ref="C5:C6"/>
    <mergeCell ref="D5:D6"/>
    <mergeCell ref="N5:O5"/>
    <mergeCell ref="D3:E3"/>
    <mergeCell ref="E5:E6"/>
    <mergeCell ref="H5:I5"/>
    <mergeCell ref="J5:M5"/>
    <mergeCell ref="F5:G5"/>
  </mergeCells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13"/>
  </sheetPr>
  <dimension ref="A1:P5"/>
  <sheetViews>
    <sheetView workbookViewId="0">
      <pane ySplit="5" topLeftCell="A6" activePane="bottomLeft" state="frozen"/>
      <selection pane="bottomLeft" activeCell="F11" sqref="F11"/>
    </sheetView>
  </sheetViews>
  <sheetFormatPr defaultRowHeight="20.100000000000001" customHeight="1"/>
  <cols>
    <col min="1" max="1" width="5.5" style="68" bestFit="1" customWidth="1"/>
    <col min="2" max="2" width="9" style="68" bestFit="1"/>
    <col min="3" max="3" width="9" style="68"/>
    <col min="4" max="4" width="5.25" style="68" bestFit="1" customWidth="1"/>
    <col min="5" max="5" width="5.25" style="69" bestFit="1" customWidth="1"/>
    <col min="6" max="6" width="5.25" style="69" customWidth="1"/>
    <col min="7" max="7" width="5.25" style="69" bestFit="1" customWidth="1"/>
    <col min="8" max="8" width="6.25" style="68" customWidth="1"/>
    <col min="9" max="10" width="9" style="68"/>
    <col min="11" max="11" width="11.625" style="68" customWidth="1"/>
    <col min="12" max="12" width="7.125" style="68" customWidth="1"/>
    <col min="13" max="13" width="12.125" style="68" customWidth="1"/>
    <col min="14" max="14" width="7.125" style="68" customWidth="1"/>
    <col min="15" max="15" width="12.75" style="68" customWidth="1"/>
    <col min="16" max="16" width="5.25" style="68" bestFit="1" customWidth="1"/>
    <col min="17" max="16384" width="9" style="10"/>
  </cols>
  <sheetData>
    <row r="1" spans="1:16" ht="27.95" customHeight="1">
      <c r="A1" s="11"/>
      <c r="B1" s="29"/>
      <c r="C1" s="29"/>
      <c r="D1" s="11"/>
      <c r="E1" s="11"/>
      <c r="F1" s="11"/>
      <c r="G1" s="11"/>
      <c r="H1" s="11"/>
      <c r="I1" s="11"/>
      <c r="J1" s="11"/>
      <c r="K1" s="11"/>
      <c r="L1" s="11"/>
      <c r="M1" s="29"/>
      <c r="N1" s="11"/>
      <c r="O1" s="11"/>
      <c r="P1" s="15"/>
    </row>
    <row r="2" spans="1:16" ht="15.95" customHeight="1">
      <c r="A2" s="85"/>
      <c r="B2" s="85" t="s">
        <v>8</v>
      </c>
      <c r="C2" s="85" t="s">
        <v>23</v>
      </c>
      <c r="D2" s="187" t="s">
        <v>24</v>
      </c>
      <c r="E2" s="187"/>
      <c r="F2" s="85"/>
      <c r="G2" s="85"/>
      <c r="H2" s="85"/>
      <c r="I2" s="85"/>
      <c r="J2" s="85"/>
      <c r="K2" s="85"/>
      <c r="L2" s="85"/>
      <c r="M2" s="30"/>
      <c r="N2" s="85"/>
      <c r="O2" s="85"/>
      <c r="P2" s="13"/>
    </row>
    <row r="3" spans="1:16" ht="15.95" customHeight="1">
      <c r="A3" s="85"/>
      <c r="B3" s="84" t="s">
        <v>41</v>
      </c>
      <c r="C3" s="84" t="s">
        <v>41</v>
      </c>
      <c r="D3" s="188" t="s">
        <v>41</v>
      </c>
      <c r="E3" s="189"/>
      <c r="F3" s="85"/>
      <c r="G3" s="85"/>
      <c r="H3" s="85"/>
      <c r="I3" s="85"/>
      <c r="J3" s="85"/>
      <c r="K3" s="85"/>
      <c r="L3" s="85"/>
      <c r="M3" s="30"/>
      <c r="N3" s="85"/>
      <c r="O3" s="85"/>
      <c r="P3" s="13"/>
    </row>
    <row r="4" spans="1:16" ht="3" customHeight="1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14"/>
    </row>
    <row r="5" spans="1:16" s="9" customFormat="1" ht="20.100000000000001" customHeight="1">
      <c r="A5" s="62" t="s">
        <v>5</v>
      </c>
      <c r="B5" s="62" t="s">
        <v>51</v>
      </c>
      <c r="C5" s="62" t="s">
        <v>52</v>
      </c>
      <c r="D5" s="62" t="s">
        <v>6</v>
      </c>
      <c r="E5" s="62" t="s">
        <v>25</v>
      </c>
      <c r="F5" s="62" t="s">
        <v>26</v>
      </c>
      <c r="G5" s="62" t="s">
        <v>27</v>
      </c>
      <c r="H5" s="62" t="s">
        <v>73</v>
      </c>
      <c r="I5" s="62" t="s">
        <v>28</v>
      </c>
      <c r="J5" s="62" t="s">
        <v>168</v>
      </c>
      <c r="K5" s="62" t="s">
        <v>209</v>
      </c>
      <c r="L5" s="62" t="s">
        <v>30</v>
      </c>
      <c r="M5" s="62" t="s">
        <v>29</v>
      </c>
      <c r="N5" s="62" t="s">
        <v>31</v>
      </c>
      <c r="O5" s="62" t="s">
        <v>32</v>
      </c>
      <c r="P5" s="62" t="s">
        <v>53</v>
      </c>
    </row>
  </sheetData>
  <sheetProtection sheet="1" objects="1" scenarios="1" formatCells="0" formatColumns="0" formatRows="0"/>
  <protectedRanges>
    <protectedRange sqref="B3:D3 N6:P65500 A6:M65500" name="区域1"/>
  </protectedRanges>
  <mergeCells count="2">
    <mergeCell ref="D2:E2"/>
    <mergeCell ref="D3:E3"/>
  </mergeCells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indexed="13"/>
  </sheetPr>
  <dimension ref="A1:P5"/>
  <sheetViews>
    <sheetView workbookViewId="0">
      <pane ySplit="5" topLeftCell="A6" activePane="bottomLeft" state="frozen"/>
      <selection pane="bottomLeft" activeCell="F8" sqref="F8"/>
    </sheetView>
  </sheetViews>
  <sheetFormatPr defaultRowHeight="20.100000000000001" customHeight="1"/>
  <cols>
    <col min="1" max="1" width="9" style="70" bestFit="1"/>
    <col min="2" max="2" width="10" style="68" bestFit="1" customWidth="1"/>
    <col min="3" max="3" width="9" style="68"/>
    <col min="4" max="4" width="5.25" style="70" bestFit="1" customWidth="1"/>
    <col min="5" max="5" width="7.25" style="69" bestFit="1" customWidth="1"/>
    <col min="6" max="6" width="5.5" style="69" bestFit="1" customWidth="1"/>
    <col min="7" max="7" width="7.25" style="69" bestFit="1" customWidth="1"/>
    <col min="8" max="8" width="9" style="70" bestFit="1"/>
    <col min="9" max="9" width="9" style="70"/>
    <col min="10" max="10" width="9" style="70" bestFit="1"/>
    <col min="11" max="11" width="11.625" style="70" bestFit="1" customWidth="1"/>
    <col min="12" max="12" width="7.125" style="70" bestFit="1" customWidth="1"/>
    <col min="13" max="13" width="12.125" style="68" bestFit="1" customWidth="1"/>
    <col min="14" max="14" width="7.125" style="70" bestFit="1" customWidth="1"/>
    <col min="15" max="15" width="12.75" style="68" bestFit="1" customWidth="1"/>
    <col min="16" max="16" width="5.25" style="68" bestFit="1" customWidth="1"/>
    <col min="17" max="16384" width="9" style="10"/>
  </cols>
  <sheetData>
    <row r="1" spans="1:16" ht="27.95" customHeight="1">
      <c r="A1" s="88"/>
      <c r="B1" s="14"/>
      <c r="C1" s="14"/>
      <c r="D1" s="85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</row>
    <row r="2" spans="1:16" ht="15.95" customHeight="1">
      <c r="A2" s="88" t="s">
        <v>207</v>
      </c>
      <c r="B2" s="191" t="s">
        <v>203</v>
      </c>
      <c r="C2" s="191"/>
      <c r="D2" s="174" t="s">
        <v>65</v>
      </c>
      <c r="E2" s="174"/>
      <c r="F2" s="174" t="s">
        <v>66</v>
      </c>
      <c r="G2" s="174"/>
      <c r="H2" s="87" t="s">
        <v>204</v>
      </c>
      <c r="I2" s="88" t="s">
        <v>67</v>
      </c>
      <c r="J2" s="88" t="s">
        <v>206</v>
      </c>
      <c r="K2" s="88" t="s">
        <v>205</v>
      </c>
      <c r="L2" s="88" t="s">
        <v>68</v>
      </c>
      <c r="M2" s="85"/>
      <c r="N2" s="88"/>
      <c r="O2" s="88"/>
      <c r="P2" s="88"/>
    </row>
    <row r="3" spans="1:16" ht="15.95" customHeight="1">
      <c r="A3" s="84" t="s">
        <v>41</v>
      </c>
      <c r="B3" s="188" t="s">
        <v>41</v>
      </c>
      <c r="C3" s="189"/>
      <c r="D3" s="190" t="s">
        <v>41</v>
      </c>
      <c r="E3" s="190"/>
      <c r="F3" s="190" t="s">
        <v>41</v>
      </c>
      <c r="G3" s="190"/>
      <c r="H3" s="86" t="s">
        <v>41</v>
      </c>
      <c r="I3" s="84" t="s">
        <v>41</v>
      </c>
      <c r="J3" s="84" t="s">
        <v>41</v>
      </c>
      <c r="K3" s="84" t="s">
        <v>41</v>
      </c>
      <c r="L3" s="84" t="s">
        <v>41</v>
      </c>
      <c r="M3" s="85"/>
      <c r="N3" s="85"/>
      <c r="O3" s="88"/>
      <c r="P3" s="88"/>
    </row>
    <row r="4" spans="1:16" ht="3" customHeight="1">
      <c r="A4" s="85"/>
      <c r="B4" s="13"/>
      <c r="C4" s="13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</row>
    <row r="5" spans="1:16" s="9" customFormat="1" ht="20.100000000000001" customHeight="1">
      <c r="A5" s="62" t="s">
        <v>8</v>
      </c>
      <c r="B5" s="62" t="s">
        <v>54</v>
      </c>
      <c r="C5" s="62" t="s">
        <v>55</v>
      </c>
      <c r="D5" s="62" t="s">
        <v>9</v>
      </c>
      <c r="E5" s="62" t="s">
        <v>10</v>
      </c>
      <c r="F5" s="62" t="s">
        <v>11</v>
      </c>
      <c r="G5" s="62" t="s">
        <v>12</v>
      </c>
      <c r="H5" s="62" t="s">
        <v>204</v>
      </c>
      <c r="I5" s="62" t="s">
        <v>13</v>
      </c>
      <c r="J5" s="62" t="s">
        <v>167</v>
      </c>
      <c r="K5" s="62" t="s">
        <v>208</v>
      </c>
      <c r="L5" s="62" t="s">
        <v>205</v>
      </c>
      <c r="M5" s="62" t="s">
        <v>203</v>
      </c>
      <c r="N5" s="62" t="s">
        <v>22</v>
      </c>
      <c r="O5" s="62" t="s">
        <v>17</v>
      </c>
      <c r="P5" s="62" t="s">
        <v>53</v>
      </c>
    </row>
  </sheetData>
  <sheetProtection sheet="1" objects="1" scenarios="1" formatCells="0" formatColumns="0" formatRows="0"/>
  <mergeCells count="6">
    <mergeCell ref="F2:G2"/>
    <mergeCell ref="F3:G3"/>
    <mergeCell ref="B3:C3"/>
    <mergeCell ref="B2:C2"/>
    <mergeCell ref="D2:E2"/>
    <mergeCell ref="D3:E3"/>
  </mergeCells>
  <phoneticPr fontId="2" type="noConversion"/>
  <dataValidations count="1">
    <dataValidation type="list" allowBlank="1" showInputMessage="1" showErrorMessage="1" sqref="J3">
      <formula1>"入库单,出库单"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indexed="45"/>
  </sheetPr>
  <dimension ref="A1:V13"/>
  <sheetViews>
    <sheetView workbookViewId="0">
      <pane ySplit="4" topLeftCell="A5" activePane="bottomLeft" state="frozen"/>
      <selection pane="bottomLeft" activeCell="B7" sqref="B7"/>
    </sheetView>
  </sheetViews>
  <sheetFormatPr defaultRowHeight="20.100000000000001" customHeight="1"/>
  <cols>
    <col min="1" max="1" width="5.5" style="15" bestFit="1" customWidth="1"/>
    <col min="2" max="2" width="10" style="15" bestFit="1" customWidth="1"/>
    <col min="3" max="3" width="9" style="15" bestFit="1"/>
    <col min="4" max="4" width="5.25" style="67" bestFit="1" customWidth="1"/>
    <col min="5" max="6" width="7.25" style="67" bestFit="1" customWidth="1"/>
    <col min="7" max="7" width="9" style="67" bestFit="1"/>
    <col min="8" max="8" width="5.25" style="67" bestFit="1" customWidth="1"/>
    <col min="9" max="9" width="5.25" style="145" bestFit="1" customWidth="1"/>
    <col min="10" max="11" width="5.25" style="67" bestFit="1" customWidth="1"/>
    <col min="12" max="12" width="9" style="67" bestFit="1"/>
    <col min="13" max="13" width="9" style="146" bestFit="1"/>
    <col min="14" max="15" width="0.875" style="147" customWidth="1"/>
    <col min="16" max="16" width="12.125" style="15" bestFit="1" customWidth="1"/>
    <col min="17" max="17" width="10" style="15" bestFit="1" customWidth="1"/>
    <col min="18" max="20" width="7.125" style="15" bestFit="1" customWidth="1"/>
    <col min="21" max="22" width="9" style="15" bestFit="1"/>
    <col min="23" max="16384" width="9" style="67"/>
  </cols>
  <sheetData>
    <row r="1" spans="1:22" ht="9" customHeight="1">
      <c r="A1" s="12"/>
      <c r="B1" s="12"/>
      <c r="C1" s="12"/>
      <c r="D1" s="11"/>
      <c r="E1" s="27"/>
      <c r="F1" s="127"/>
      <c r="G1" s="127"/>
      <c r="H1" s="127"/>
      <c r="I1" s="128"/>
      <c r="J1" s="127"/>
      <c r="K1" s="127"/>
      <c r="L1" s="11"/>
      <c r="M1" s="11"/>
      <c r="N1" s="129"/>
      <c r="O1" s="129"/>
      <c r="P1" s="130"/>
      <c r="Q1" s="12"/>
      <c r="R1" s="12"/>
      <c r="S1" s="12"/>
      <c r="T1" s="12"/>
      <c r="U1" s="12"/>
      <c r="V1" s="12"/>
    </row>
    <row r="2" spans="1:22" ht="9" customHeight="1">
      <c r="A2" s="131"/>
      <c r="B2" s="131"/>
      <c r="C2" s="131"/>
      <c r="D2" s="149"/>
      <c r="E2" s="132"/>
      <c r="F2" s="132"/>
      <c r="G2" s="132"/>
      <c r="H2" s="132"/>
      <c r="I2" s="133"/>
      <c r="J2" s="132"/>
      <c r="K2" s="132"/>
      <c r="L2" s="149"/>
      <c r="M2" s="149"/>
      <c r="N2" s="129"/>
      <c r="O2" s="129"/>
      <c r="P2" s="130"/>
      <c r="Q2" s="12"/>
      <c r="R2" s="12"/>
      <c r="S2" s="12"/>
      <c r="T2" s="12"/>
      <c r="U2" s="12"/>
      <c r="V2" s="12"/>
    </row>
    <row r="3" spans="1:22" ht="9.9499999999999993" customHeight="1">
      <c r="A3" s="131"/>
      <c r="B3" s="131"/>
      <c r="C3" s="131"/>
      <c r="D3" s="149"/>
      <c r="E3" s="134"/>
      <c r="F3" s="134"/>
      <c r="G3" s="134"/>
      <c r="H3" s="134"/>
      <c r="I3" s="135"/>
      <c r="J3" s="134"/>
      <c r="K3" s="134"/>
      <c r="L3" s="150"/>
      <c r="M3" s="150"/>
      <c r="N3" s="136"/>
      <c r="O3" s="136"/>
      <c r="P3" s="137"/>
      <c r="Q3" s="12"/>
      <c r="R3" s="12"/>
      <c r="S3" s="12"/>
      <c r="T3" s="12"/>
      <c r="U3" s="12"/>
      <c r="V3" s="12"/>
    </row>
    <row r="4" spans="1:22" ht="27">
      <c r="A4" s="138" t="s">
        <v>157</v>
      </c>
      <c r="B4" s="138" t="s">
        <v>47</v>
      </c>
      <c r="C4" s="138" t="s">
        <v>48</v>
      </c>
      <c r="D4" s="138" t="s">
        <v>6</v>
      </c>
      <c r="E4" s="139" t="s">
        <v>128</v>
      </c>
      <c r="F4" s="139" t="s">
        <v>129</v>
      </c>
      <c r="G4" s="138" t="s">
        <v>163</v>
      </c>
      <c r="H4" s="139" t="s">
        <v>162</v>
      </c>
      <c r="I4" s="139" t="s">
        <v>132</v>
      </c>
      <c r="J4" s="139" t="s">
        <v>57</v>
      </c>
      <c r="K4" s="139" t="s">
        <v>81</v>
      </c>
      <c r="L4" s="148" t="s">
        <v>134</v>
      </c>
      <c r="M4" s="138" t="s">
        <v>153</v>
      </c>
      <c r="N4" s="140"/>
      <c r="O4" s="140"/>
      <c r="P4" s="141" t="s">
        <v>33</v>
      </c>
      <c r="Q4" s="142" t="s">
        <v>34</v>
      </c>
      <c r="R4" s="141" t="s">
        <v>35</v>
      </c>
      <c r="S4" s="143" t="s">
        <v>36</v>
      </c>
      <c r="T4" s="141" t="s">
        <v>22</v>
      </c>
      <c r="U4" s="143" t="s">
        <v>37</v>
      </c>
      <c r="V4" s="144" t="s">
        <v>38</v>
      </c>
    </row>
    <row r="5" spans="1:22" ht="20.100000000000001" customHeight="1">
      <c r="A5" s="15" t="s">
        <v>213</v>
      </c>
      <c r="B5" s="15" t="s">
        <v>214</v>
      </c>
      <c r="C5" s="15" t="s">
        <v>220</v>
      </c>
      <c r="D5" s="67" t="s">
        <v>45</v>
      </c>
      <c r="E5" s="67" t="s">
        <v>156</v>
      </c>
      <c r="F5" s="67">
        <v>12</v>
      </c>
      <c r="G5" s="67" t="s">
        <v>210</v>
      </c>
      <c r="H5" s="67" t="s">
        <v>155</v>
      </c>
      <c r="I5" s="145">
        <v>30</v>
      </c>
      <c r="J5" s="67">
        <v>2</v>
      </c>
      <c r="K5" s="67">
        <v>5</v>
      </c>
      <c r="P5" s="15" t="s">
        <v>85</v>
      </c>
      <c r="Q5" s="15" t="s">
        <v>176</v>
      </c>
      <c r="R5" s="15" t="s">
        <v>86</v>
      </c>
      <c r="S5" s="15" t="s">
        <v>87</v>
      </c>
      <c r="T5" s="15" t="s">
        <v>88</v>
      </c>
      <c r="U5" s="15" t="s">
        <v>89</v>
      </c>
      <c r="V5" s="15" t="s">
        <v>90</v>
      </c>
    </row>
    <row r="6" spans="1:22" ht="20.100000000000001" customHeight="1">
      <c r="A6" s="15">
        <v>1002</v>
      </c>
      <c r="B6" s="15" t="s">
        <v>212</v>
      </c>
      <c r="C6" s="15" t="s">
        <v>217</v>
      </c>
      <c r="D6" s="67" t="s">
        <v>45</v>
      </c>
      <c r="E6" s="67">
        <v>10</v>
      </c>
      <c r="F6" s="67">
        <v>13</v>
      </c>
      <c r="G6" s="67" t="s">
        <v>175</v>
      </c>
      <c r="H6" s="67">
        <v>2</v>
      </c>
      <c r="I6" s="145">
        <v>20</v>
      </c>
      <c r="J6" s="67">
        <v>2</v>
      </c>
      <c r="K6" s="67">
        <v>5</v>
      </c>
      <c r="L6" s="67" t="s">
        <v>227</v>
      </c>
      <c r="P6" s="15" t="s">
        <v>91</v>
      </c>
      <c r="Q6" s="15" t="s">
        <v>92</v>
      </c>
      <c r="R6" s="15" t="s">
        <v>93</v>
      </c>
      <c r="S6" s="15" t="s">
        <v>94</v>
      </c>
      <c r="T6" s="15" t="s">
        <v>95</v>
      </c>
      <c r="U6" s="15" t="s">
        <v>96</v>
      </c>
      <c r="V6" s="15" t="s">
        <v>84</v>
      </c>
    </row>
    <row r="7" spans="1:22" ht="20.100000000000001" customHeight="1">
      <c r="A7" s="15" t="s">
        <v>116</v>
      </c>
      <c r="B7" s="15" t="s">
        <v>223</v>
      </c>
      <c r="C7" s="15" t="s">
        <v>216</v>
      </c>
      <c r="D7" s="67" t="s">
        <v>46</v>
      </c>
      <c r="E7" s="67">
        <v>10</v>
      </c>
      <c r="F7" s="67">
        <v>14</v>
      </c>
      <c r="G7" s="67" t="s">
        <v>174</v>
      </c>
      <c r="H7" s="67">
        <v>3</v>
      </c>
      <c r="I7" s="145">
        <v>30</v>
      </c>
      <c r="J7" s="67">
        <v>2</v>
      </c>
      <c r="K7" s="67">
        <v>5</v>
      </c>
      <c r="P7" s="15" t="s">
        <v>97</v>
      </c>
      <c r="Q7" s="15" t="s">
        <v>98</v>
      </c>
      <c r="R7" s="15" t="s">
        <v>99</v>
      </c>
      <c r="S7" s="15" t="s">
        <v>100</v>
      </c>
      <c r="T7" s="15" t="s">
        <v>101</v>
      </c>
      <c r="U7" s="15" t="s">
        <v>102</v>
      </c>
      <c r="V7" s="15" t="s">
        <v>103</v>
      </c>
    </row>
    <row r="8" spans="1:22" ht="20.100000000000001" customHeight="1">
      <c r="A8" s="15">
        <v>1004</v>
      </c>
      <c r="B8" s="15" t="s">
        <v>222</v>
      </c>
      <c r="C8" s="15" t="s">
        <v>154</v>
      </c>
      <c r="D8" s="67" t="s">
        <v>219</v>
      </c>
      <c r="E8" s="67">
        <v>10</v>
      </c>
      <c r="F8" s="67">
        <v>12</v>
      </c>
      <c r="G8" s="67" t="s">
        <v>174</v>
      </c>
      <c r="H8" s="67">
        <v>6</v>
      </c>
      <c r="I8" s="145">
        <v>60</v>
      </c>
      <c r="J8" s="67">
        <v>2</v>
      </c>
      <c r="K8" s="67">
        <v>5</v>
      </c>
      <c r="L8" s="67" t="s">
        <v>228</v>
      </c>
      <c r="P8" s="15" t="s">
        <v>105</v>
      </c>
      <c r="Q8" s="15" t="s">
        <v>106</v>
      </c>
      <c r="R8" s="15" t="s">
        <v>107</v>
      </c>
      <c r="S8" s="15" t="s">
        <v>108</v>
      </c>
      <c r="T8" s="15" t="s">
        <v>109</v>
      </c>
      <c r="U8" s="15" t="s">
        <v>110</v>
      </c>
      <c r="V8" s="15" t="s">
        <v>111</v>
      </c>
    </row>
    <row r="9" spans="1:22" ht="20.100000000000001" customHeight="1">
      <c r="A9" s="15">
        <v>1005</v>
      </c>
      <c r="B9" s="15" t="s">
        <v>221</v>
      </c>
      <c r="C9" s="15" t="s">
        <v>218</v>
      </c>
      <c r="D9" s="67" t="s">
        <v>104</v>
      </c>
      <c r="E9" s="67">
        <v>10</v>
      </c>
      <c r="F9" s="67">
        <v>13</v>
      </c>
      <c r="G9" s="67" t="s">
        <v>173</v>
      </c>
      <c r="H9" s="67">
        <v>3</v>
      </c>
      <c r="I9" s="145">
        <v>30</v>
      </c>
      <c r="J9" s="67">
        <v>2</v>
      </c>
      <c r="K9" s="67">
        <v>5</v>
      </c>
      <c r="P9" s="15" t="s">
        <v>112</v>
      </c>
      <c r="Q9" s="15" t="s">
        <v>85</v>
      </c>
      <c r="V9" s="15" t="s">
        <v>113</v>
      </c>
    </row>
    <row r="10" spans="1:22" ht="20.100000000000001" customHeight="1">
      <c r="A10" s="15" t="s">
        <v>130</v>
      </c>
      <c r="B10" s="15" t="s">
        <v>215</v>
      </c>
      <c r="C10" s="15" t="s">
        <v>217</v>
      </c>
      <c r="D10" s="67" t="s">
        <v>45</v>
      </c>
      <c r="E10" s="67">
        <v>10</v>
      </c>
      <c r="F10" s="67">
        <v>14</v>
      </c>
      <c r="G10" s="67" t="s">
        <v>211</v>
      </c>
      <c r="H10" s="67" t="s">
        <v>155</v>
      </c>
      <c r="I10" s="145">
        <v>30</v>
      </c>
      <c r="J10" s="67">
        <v>2</v>
      </c>
      <c r="K10" s="67">
        <v>5</v>
      </c>
      <c r="P10" s="15" t="s">
        <v>114</v>
      </c>
      <c r="Q10" s="15" t="s">
        <v>115</v>
      </c>
    </row>
    <row r="11" spans="1:22" ht="20.100000000000001" customHeight="1">
      <c r="P11" s="15" t="s">
        <v>169</v>
      </c>
      <c r="Q11" s="15" t="s">
        <v>171</v>
      </c>
    </row>
    <row r="12" spans="1:22" ht="20.100000000000001" customHeight="1">
      <c r="P12" s="15" t="s">
        <v>170</v>
      </c>
      <c r="Q12" s="15" t="s">
        <v>172</v>
      </c>
    </row>
    <row r="13" spans="1:22" ht="20.100000000000001" customHeight="1">
      <c r="P13" s="15" t="s">
        <v>110</v>
      </c>
      <c r="Q13" s="15" t="s">
        <v>113</v>
      </c>
    </row>
  </sheetData>
  <sheetProtection sheet="1" objects="1" scenarios="1" formatCells="0" formatColumns="0" formatRows="0" insertRows="0" deleteRows="0" sort="0" autoFilter="0"/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indexed="13"/>
  </sheetPr>
  <dimension ref="A1:M6"/>
  <sheetViews>
    <sheetView workbookViewId="0">
      <pane ySplit="6" topLeftCell="A7" activePane="bottomLeft" state="frozen"/>
      <selection pane="bottomLeft" activeCell="G11" sqref="G11"/>
    </sheetView>
  </sheetViews>
  <sheetFormatPr defaultRowHeight="20.100000000000001" customHeight="1"/>
  <cols>
    <col min="1" max="1" width="9" style="70" bestFit="1"/>
    <col min="2" max="2" width="10" style="70" bestFit="1" customWidth="1"/>
    <col min="3" max="3" width="9" style="70"/>
    <col min="4" max="4" width="5.25" style="70" customWidth="1"/>
    <col min="5" max="5" width="9" style="70" bestFit="1"/>
    <col min="6" max="6" width="9.875" style="69" customWidth="1"/>
    <col min="7" max="7" width="9.875" style="112" customWidth="1"/>
    <col min="8" max="8" width="9.875" style="69" customWidth="1"/>
    <col min="9" max="9" width="9.75" style="69" customWidth="1"/>
    <col min="10" max="11" width="9.75" style="112" customWidth="1"/>
    <col min="12" max="12" width="9" style="112" bestFit="1"/>
    <col min="13" max="13" width="9" style="69" bestFit="1"/>
    <col min="14" max="16384" width="9" style="10"/>
  </cols>
  <sheetData>
    <row r="1" spans="1:13" ht="27.95" customHeigh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67"/>
    </row>
    <row r="2" spans="1:13" ht="15.95" customHeight="1">
      <c r="A2" s="85" t="s">
        <v>167</v>
      </c>
      <c r="B2" s="191" t="s">
        <v>189</v>
      </c>
      <c r="C2" s="191"/>
      <c r="D2" s="191"/>
      <c r="E2" s="85" t="s">
        <v>188</v>
      </c>
      <c r="F2" s="85" t="s">
        <v>190</v>
      </c>
      <c r="G2" s="85" t="s">
        <v>191</v>
      </c>
      <c r="H2" s="85" t="s">
        <v>30</v>
      </c>
      <c r="I2" s="85" t="s">
        <v>31</v>
      </c>
      <c r="J2" s="85" t="s">
        <v>28</v>
      </c>
      <c r="K2" s="85"/>
      <c r="L2" s="85"/>
      <c r="M2" s="85"/>
    </row>
    <row r="3" spans="1:13" ht="15.95" customHeight="1">
      <c r="A3" s="111" t="s">
        <v>41</v>
      </c>
      <c r="B3" s="192" t="s">
        <v>41</v>
      </c>
      <c r="C3" s="192"/>
      <c r="D3" s="192"/>
      <c r="E3" s="111" t="s">
        <v>41</v>
      </c>
      <c r="F3" s="111" t="s">
        <v>41</v>
      </c>
      <c r="G3" s="111" t="s">
        <v>41</v>
      </c>
      <c r="H3" s="111" t="s">
        <v>41</v>
      </c>
      <c r="I3" s="111" t="s">
        <v>41</v>
      </c>
      <c r="J3" s="111" t="s">
        <v>41</v>
      </c>
      <c r="K3" s="75"/>
      <c r="L3" s="75"/>
      <c r="M3" s="75"/>
    </row>
    <row r="4" spans="1:13" s="44" customFormat="1" ht="2.1" customHeight="1">
      <c r="A4" s="75"/>
      <c r="B4" s="75"/>
      <c r="C4" s="75"/>
      <c r="D4" s="76"/>
      <c r="E4" s="77"/>
      <c r="F4" s="76"/>
      <c r="G4" s="76"/>
      <c r="H4" s="76"/>
      <c r="I4" s="76"/>
      <c r="J4" s="76"/>
      <c r="K4" s="76"/>
      <c r="L4" s="76"/>
      <c r="M4" s="81"/>
    </row>
    <row r="5" spans="1:13" ht="13.5">
      <c r="A5" s="170" t="s">
        <v>187</v>
      </c>
      <c r="B5" s="170" t="s">
        <v>194</v>
      </c>
      <c r="C5" s="170" t="s">
        <v>195</v>
      </c>
      <c r="D5" s="170" t="s">
        <v>197</v>
      </c>
      <c r="E5" s="171" t="s">
        <v>196</v>
      </c>
      <c r="F5" s="168" t="s">
        <v>198</v>
      </c>
      <c r="G5" s="169"/>
      <c r="H5" s="171"/>
      <c r="I5" s="168" t="s">
        <v>199</v>
      </c>
      <c r="J5" s="169"/>
      <c r="K5" s="169"/>
      <c r="L5" s="169"/>
      <c r="M5" s="170"/>
    </row>
    <row r="6" spans="1:13" s="9" customFormat="1" ht="13.5">
      <c r="A6" s="167"/>
      <c r="B6" s="167"/>
      <c r="C6" s="167"/>
      <c r="D6" s="167"/>
      <c r="E6" s="172"/>
      <c r="F6" s="63" t="s">
        <v>192</v>
      </c>
      <c r="G6" s="64" t="s">
        <v>193</v>
      </c>
      <c r="H6" s="78" t="s">
        <v>12</v>
      </c>
      <c r="I6" s="63" t="s">
        <v>192</v>
      </c>
      <c r="J6" s="64" t="s">
        <v>193</v>
      </c>
      <c r="K6" s="64" t="s">
        <v>230</v>
      </c>
      <c r="L6" s="64" t="s">
        <v>231</v>
      </c>
      <c r="M6" s="45" t="s">
        <v>232</v>
      </c>
    </row>
  </sheetData>
  <sheetProtection sheet="1" objects="1" scenarios="1" formatCells="0" formatColumns="0" formatRows="0"/>
  <protectedRanges>
    <protectedRange sqref="B3:F4 A7:M65501" name="区域1"/>
  </protectedRanges>
  <mergeCells count="9">
    <mergeCell ref="B2:D2"/>
    <mergeCell ref="B3:D3"/>
    <mergeCell ref="F5:H5"/>
    <mergeCell ref="B5:B6"/>
    <mergeCell ref="I5:M5"/>
    <mergeCell ref="E5:E6"/>
    <mergeCell ref="D5:D6"/>
    <mergeCell ref="C5:C6"/>
    <mergeCell ref="A5:A6"/>
  </mergeCells>
  <phoneticPr fontId="2" type="noConversion"/>
  <dataValidations count="1">
    <dataValidation type="list" allowBlank="1" showInputMessage="1" showErrorMessage="1" sqref="A3">
      <formula1>"入库单,出库单"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indexed="13"/>
  </sheetPr>
  <dimension ref="A1:I5"/>
  <sheetViews>
    <sheetView workbookViewId="0">
      <pane ySplit="5" topLeftCell="A6" activePane="bottomLeft" state="frozen"/>
      <selection pane="bottomLeft" activeCell="H9" sqref="H9"/>
    </sheetView>
  </sheetViews>
  <sheetFormatPr defaultRowHeight="20.100000000000001" customHeight="1"/>
  <cols>
    <col min="1" max="1" width="9" style="70" bestFit="1"/>
    <col min="2" max="2" width="12.75" style="70" bestFit="1" customWidth="1"/>
    <col min="3" max="4" width="11.625" style="70" bestFit="1" customWidth="1"/>
    <col min="5" max="5" width="23.375" style="71" customWidth="1"/>
    <col min="6" max="7" width="7.125" style="70" bestFit="1" customWidth="1"/>
    <col min="8" max="8" width="9" style="69" bestFit="1"/>
    <col min="9" max="9" width="9" style="74" bestFit="1"/>
    <col min="10" max="16384" width="9" style="10"/>
  </cols>
  <sheetData>
    <row r="1" spans="1:9" ht="27.95" customHeight="1">
      <c r="A1" s="11"/>
      <c r="B1" s="11"/>
      <c r="C1" s="11"/>
      <c r="D1" s="11"/>
      <c r="E1" s="12"/>
      <c r="F1" s="11"/>
      <c r="G1" s="11"/>
      <c r="H1" s="11"/>
      <c r="I1" s="67"/>
    </row>
    <row r="2" spans="1:9" ht="15.95" customHeight="1">
      <c r="A2" s="85" t="s">
        <v>177</v>
      </c>
      <c r="B2" s="85" t="s">
        <v>178</v>
      </c>
      <c r="C2" s="85" t="s">
        <v>23</v>
      </c>
      <c r="D2" s="85" t="s">
        <v>186</v>
      </c>
      <c r="E2" s="85" t="s">
        <v>29</v>
      </c>
      <c r="F2" s="85" t="s">
        <v>30</v>
      </c>
      <c r="G2" s="85" t="s">
        <v>31</v>
      </c>
      <c r="H2" s="85" t="s">
        <v>180</v>
      </c>
      <c r="I2" s="85"/>
    </row>
    <row r="3" spans="1:9" ht="15.95" customHeight="1">
      <c r="A3" s="84" t="s">
        <v>41</v>
      </c>
      <c r="B3" s="84" t="s">
        <v>41</v>
      </c>
      <c r="C3" s="84" t="s">
        <v>41</v>
      </c>
      <c r="D3" s="84" t="s">
        <v>41</v>
      </c>
      <c r="E3" s="84" t="s">
        <v>41</v>
      </c>
      <c r="F3" s="84" t="s">
        <v>41</v>
      </c>
      <c r="G3" s="84" t="s">
        <v>41</v>
      </c>
      <c r="H3" s="84" t="s">
        <v>41</v>
      </c>
      <c r="I3" s="85"/>
    </row>
    <row r="4" spans="1:9" ht="3" customHeight="1">
      <c r="A4" s="88"/>
      <c r="B4" s="88"/>
      <c r="C4" s="88"/>
      <c r="D4" s="88" t="s">
        <v>41</v>
      </c>
      <c r="E4" s="88"/>
      <c r="F4" s="88"/>
      <c r="G4" s="88"/>
      <c r="H4" s="88" t="s">
        <v>41</v>
      </c>
      <c r="I4" s="88"/>
    </row>
    <row r="5" spans="1:9" s="9" customFormat="1" ht="20.100000000000001" customHeight="1">
      <c r="A5" s="45" t="s">
        <v>177</v>
      </c>
      <c r="B5" s="45" t="s">
        <v>178</v>
      </c>
      <c r="C5" s="45" t="s">
        <v>179</v>
      </c>
      <c r="D5" s="45" t="s">
        <v>180</v>
      </c>
      <c r="E5" s="45" t="s">
        <v>181</v>
      </c>
      <c r="F5" s="45" t="s">
        <v>182</v>
      </c>
      <c r="G5" s="45" t="s">
        <v>183</v>
      </c>
      <c r="H5" s="45" t="s">
        <v>184</v>
      </c>
      <c r="I5" s="45" t="s">
        <v>185</v>
      </c>
    </row>
  </sheetData>
  <sheetProtection sheet="1" objects="1" scenarios="1" formatCells="0" formatColumns="0" formatRows="0"/>
  <protectedRanges>
    <protectedRange sqref="B3:D3 A6:I65500" name="区域1"/>
  </protectedRanges>
  <phoneticPr fontId="2" type="noConversion"/>
  <dataValidations count="1">
    <dataValidation type="list" allowBlank="1" showInputMessage="1" showErrorMessage="1" sqref="A3">
      <formula1>"入库单,出库单"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indexed="21"/>
  </sheetPr>
  <dimension ref="A1:AX2"/>
  <sheetViews>
    <sheetView workbookViewId="0">
      <pane ySplit="1" topLeftCell="A2" activePane="bottomLeft" state="frozen"/>
      <selection pane="bottomLeft" activeCell="C12" sqref="C12"/>
    </sheetView>
  </sheetViews>
  <sheetFormatPr defaultRowHeight="14.25"/>
  <cols>
    <col min="1" max="1" width="6.5" style="52" bestFit="1" customWidth="1"/>
    <col min="2" max="2" width="6.5" style="56" bestFit="1" customWidth="1"/>
    <col min="3" max="3" width="15.25" style="56" customWidth="1"/>
    <col min="4" max="4" width="11.625" style="56" bestFit="1" customWidth="1"/>
    <col min="5" max="8" width="0.875" style="52" customWidth="1"/>
    <col min="9" max="10" width="9.5" style="52" bestFit="1" customWidth="1"/>
    <col min="11" max="11" width="15" style="52" bestFit="1" customWidth="1"/>
    <col min="12" max="14" width="9.5" style="52" bestFit="1" customWidth="1"/>
    <col min="15" max="15" width="15" style="52" bestFit="1" customWidth="1"/>
    <col min="16" max="18" width="0.875" style="52" customWidth="1"/>
    <col min="19" max="19" width="7.5" style="52" bestFit="1" customWidth="1"/>
    <col min="20" max="22" width="5.5" style="52" bestFit="1" customWidth="1"/>
    <col min="23" max="28" width="0.875" style="52" customWidth="1"/>
    <col min="29" max="29" width="7.5" style="52" bestFit="1" customWidth="1"/>
    <col min="30" max="32" width="5.5" style="52" bestFit="1" customWidth="1"/>
    <col min="33" max="37" width="0.875" style="52" customWidth="1"/>
    <col min="38" max="39" width="15" style="52" bestFit="1" customWidth="1"/>
    <col min="40" max="42" width="9.5" style="52" bestFit="1" customWidth="1"/>
    <col min="43" max="47" width="0.875" style="52" customWidth="1"/>
    <col min="48" max="50" width="9.5" style="52" bestFit="1" customWidth="1"/>
    <col min="51" max="55" width="0.875" style="52" customWidth="1"/>
    <col min="56" max="16384" width="9" style="52"/>
  </cols>
  <sheetData>
    <row r="1" spans="1:50">
      <c r="A1" s="126" t="s">
        <v>234</v>
      </c>
      <c r="B1" s="126" t="s">
        <v>234</v>
      </c>
      <c r="C1" s="126" t="s">
        <v>234</v>
      </c>
      <c r="D1" s="126" t="s">
        <v>234</v>
      </c>
      <c r="E1" s="126" t="s">
        <v>234</v>
      </c>
      <c r="F1" s="126" t="s">
        <v>234</v>
      </c>
      <c r="G1" s="126" t="s">
        <v>234</v>
      </c>
      <c r="H1" s="126" t="s">
        <v>234</v>
      </c>
      <c r="I1" s="126" t="s">
        <v>234</v>
      </c>
      <c r="J1" s="126" t="s">
        <v>234</v>
      </c>
      <c r="K1" s="126" t="s">
        <v>234</v>
      </c>
      <c r="L1" s="126" t="s">
        <v>234</v>
      </c>
      <c r="M1" s="126" t="s">
        <v>234</v>
      </c>
      <c r="N1" s="126" t="s">
        <v>234</v>
      </c>
      <c r="O1" s="126" t="s">
        <v>234</v>
      </c>
      <c r="P1" s="126" t="s">
        <v>234</v>
      </c>
      <c r="Q1" s="126" t="s">
        <v>234</v>
      </c>
      <c r="R1" s="126" t="s">
        <v>234</v>
      </c>
      <c r="S1" s="126" t="s">
        <v>234</v>
      </c>
      <c r="T1" s="126" t="s">
        <v>234</v>
      </c>
      <c r="U1" s="126" t="s">
        <v>234</v>
      </c>
      <c r="V1" s="126" t="s">
        <v>234</v>
      </c>
      <c r="W1" s="126" t="s">
        <v>234</v>
      </c>
      <c r="X1" s="126" t="s">
        <v>234</v>
      </c>
      <c r="Y1" s="126" t="s">
        <v>234</v>
      </c>
      <c r="Z1" s="126" t="s">
        <v>234</v>
      </c>
      <c r="AA1" s="126" t="s">
        <v>234</v>
      </c>
      <c r="AB1" s="126" t="s">
        <v>234</v>
      </c>
      <c r="AC1" s="126" t="s">
        <v>234</v>
      </c>
      <c r="AD1" s="126" t="s">
        <v>234</v>
      </c>
      <c r="AE1" s="126" t="s">
        <v>234</v>
      </c>
      <c r="AF1" s="126" t="s">
        <v>234</v>
      </c>
      <c r="AG1" s="126" t="s">
        <v>234</v>
      </c>
      <c r="AH1" s="126" t="s">
        <v>234</v>
      </c>
      <c r="AI1" s="126" t="s">
        <v>234</v>
      </c>
      <c r="AJ1" s="126" t="s">
        <v>234</v>
      </c>
      <c r="AK1" s="126" t="s">
        <v>234</v>
      </c>
      <c r="AL1" s="126" t="s">
        <v>234</v>
      </c>
      <c r="AM1" s="126" t="s">
        <v>234</v>
      </c>
      <c r="AN1" s="126" t="s">
        <v>234</v>
      </c>
      <c r="AO1" s="126" t="s">
        <v>234</v>
      </c>
      <c r="AP1" s="126" t="s">
        <v>234</v>
      </c>
      <c r="AQ1" s="126" t="s">
        <v>234</v>
      </c>
      <c r="AR1" s="126" t="s">
        <v>234</v>
      </c>
      <c r="AS1" s="126" t="s">
        <v>234</v>
      </c>
      <c r="AT1" s="126" t="s">
        <v>234</v>
      </c>
      <c r="AU1" s="126" t="s">
        <v>234</v>
      </c>
      <c r="AV1" s="126" t="s">
        <v>234</v>
      </c>
      <c r="AW1" s="126" t="s">
        <v>234</v>
      </c>
      <c r="AX1" s="126" t="s">
        <v>234</v>
      </c>
    </row>
    <row r="2" spans="1:50">
      <c r="A2" s="53" t="s">
        <v>224</v>
      </c>
      <c r="B2" s="54" t="s">
        <v>224</v>
      </c>
      <c r="C2" s="55" t="s">
        <v>165</v>
      </c>
      <c r="D2" s="56" t="s">
        <v>166</v>
      </c>
      <c r="I2" s="52" t="s">
        <v>131</v>
      </c>
      <c r="J2" s="57" t="s">
        <v>131</v>
      </c>
      <c r="K2" s="52" t="s">
        <v>131</v>
      </c>
      <c r="L2" s="57" t="s">
        <v>131</v>
      </c>
      <c r="M2" s="58" t="s">
        <v>131</v>
      </c>
      <c r="N2" s="59" t="s">
        <v>131</v>
      </c>
      <c r="O2" s="53" t="s">
        <v>131</v>
      </c>
      <c r="S2" s="60" t="s">
        <v>131</v>
      </c>
      <c r="T2" s="60" t="s">
        <v>131</v>
      </c>
      <c r="U2" s="60" t="s">
        <v>131</v>
      </c>
      <c r="V2" s="60" t="s">
        <v>131</v>
      </c>
      <c r="AC2" s="52" t="s">
        <v>131</v>
      </c>
      <c r="AD2" s="52" t="s">
        <v>131</v>
      </c>
      <c r="AE2" s="52" t="s">
        <v>131</v>
      </c>
      <c r="AF2" s="52" t="s">
        <v>131</v>
      </c>
      <c r="AL2" s="53" t="s">
        <v>131</v>
      </c>
      <c r="AM2" s="52" t="s">
        <v>131</v>
      </c>
      <c r="AN2" s="52" t="s">
        <v>131</v>
      </c>
      <c r="AO2" s="52" t="s">
        <v>131</v>
      </c>
      <c r="AP2" s="52" t="s">
        <v>131</v>
      </c>
      <c r="AV2" s="52" t="s">
        <v>131</v>
      </c>
      <c r="AW2" s="52" t="s">
        <v>131</v>
      </c>
      <c r="AX2" s="52" t="s">
        <v>131</v>
      </c>
    </row>
  </sheetData>
  <sheetProtection formatCells="0" formatColumns="0" formatRows="0"/>
  <phoneticPr fontId="2" type="noConversion"/>
  <pageMargins left="0.75" right="0.75" top="1" bottom="1" header="0.5" footer="0.5"/>
  <pageSetup paperSize="32767" orientation="portrait" horizontalDpi="1200" verticalDpi="12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58"/>
  <sheetViews>
    <sheetView workbookViewId="0">
      <selection activeCell="C13" sqref="C13"/>
    </sheetView>
  </sheetViews>
  <sheetFormatPr defaultRowHeight="12"/>
  <cols>
    <col min="1" max="1" width="6.375" style="17" bestFit="1" customWidth="1"/>
    <col min="2" max="2" width="21.625" style="17" bestFit="1" customWidth="1"/>
    <col min="3" max="3" width="8" style="17" bestFit="1" customWidth="1"/>
    <col min="4" max="4" width="4.75" style="17" bestFit="1" customWidth="1"/>
    <col min="5" max="5" width="8" style="17" bestFit="1" customWidth="1"/>
    <col min="6" max="16384" width="9" style="17"/>
  </cols>
  <sheetData>
    <row r="1" spans="1:5">
      <c r="A1" s="16" t="s">
        <v>233</v>
      </c>
      <c r="B1" s="16" t="s">
        <v>245</v>
      </c>
      <c r="C1" s="17" t="s">
        <v>240</v>
      </c>
      <c r="D1" s="17" t="s">
        <v>41</v>
      </c>
    </row>
    <row r="2" spans="1:5">
      <c r="A2" s="16" t="s">
        <v>233</v>
      </c>
      <c r="B2" s="16" t="s">
        <v>245</v>
      </c>
      <c r="C2" s="17" t="s">
        <v>240</v>
      </c>
      <c r="D2" s="17" t="s">
        <v>41</v>
      </c>
    </row>
    <row r="3" spans="1:5">
      <c r="A3" s="16" t="s">
        <v>233</v>
      </c>
      <c r="B3" s="16" t="s">
        <v>246</v>
      </c>
    </row>
    <row r="4" spans="1:5">
      <c r="A4" s="16" t="s">
        <v>233</v>
      </c>
      <c r="B4" s="16" t="s">
        <v>246</v>
      </c>
    </row>
    <row r="5" spans="1:5">
      <c r="A5" s="16" t="s">
        <v>233</v>
      </c>
      <c r="B5" s="18" t="s">
        <v>236</v>
      </c>
    </row>
    <row r="6" spans="1:5">
      <c r="A6" s="16" t="s">
        <v>233</v>
      </c>
      <c r="B6" s="17" t="s">
        <v>237</v>
      </c>
    </row>
    <row r="7" spans="1:5">
      <c r="A7" s="16" t="s">
        <v>233</v>
      </c>
      <c r="C7" s="17" t="s">
        <v>159</v>
      </c>
      <c r="D7" s="17" t="s">
        <v>160</v>
      </c>
      <c r="E7" s="17" t="s">
        <v>161</v>
      </c>
    </row>
    <row r="8" spans="1:5">
      <c r="A8" s="16" t="s">
        <v>233</v>
      </c>
    </row>
    <row r="9" spans="1:5">
      <c r="A9" s="16" t="s">
        <v>233</v>
      </c>
    </row>
    <row r="10" spans="1:5">
      <c r="A10" s="16" t="s">
        <v>233</v>
      </c>
      <c r="B10" s="17" t="s">
        <v>238</v>
      </c>
    </row>
    <row r="11" spans="1:5">
      <c r="A11" s="16" t="s">
        <v>233</v>
      </c>
      <c r="B11" s="38" t="s">
        <v>133</v>
      </c>
    </row>
    <row r="12" spans="1:5">
      <c r="A12" s="16" t="s">
        <v>233</v>
      </c>
      <c r="B12" s="35" t="s">
        <v>239</v>
      </c>
    </row>
    <row r="13" spans="1:5">
      <c r="A13" s="16" t="s">
        <v>233</v>
      </c>
      <c r="B13" s="35" t="s">
        <v>240</v>
      </c>
    </row>
    <row r="14" spans="1:5">
      <c r="A14" s="16" t="s">
        <v>233</v>
      </c>
      <c r="B14" s="35" t="s">
        <v>241</v>
      </c>
    </row>
    <row r="15" spans="1:5">
      <c r="A15" s="16" t="s">
        <v>233</v>
      </c>
      <c r="B15" s="17" t="s">
        <v>241</v>
      </c>
    </row>
    <row r="16" spans="1:5">
      <c r="A16" s="16" t="s">
        <v>233</v>
      </c>
      <c r="B16" s="17" t="s">
        <v>241</v>
      </c>
    </row>
    <row r="17" spans="1:2">
      <c r="A17" s="16" t="s">
        <v>233</v>
      </c>
    </row>
    <row r="18" spans="1:2">
      <c r="A18" s="16" t="s">
        <v>233</v>
      </c>
      <c r="B18" s="34" t="s">
        <v>242</v>
      </c>
    </row>
    <row r="19" spans="1:2">
      <c r="A19" s="16" t="s">
        <v>233</v>
      </c>
      <c r="B19" s="34" t="s">
        <v>241</v>
      </c>
    </row>
    <row r="20" spans="1:2">
      <c r="A20" s="16" t="s">
        <v>233</v>
      </c>
      <c r="B20" s="17" t="s">
        <v>241</v>
      </c>
    </row>
    <row r="21" spans="1:2">
      <c r="A21" s="16" t="s">
        <v>233</v>
      </c>
      <c r="B21" s="17" t="s">
        <v>241</v>
      </c>
    </row>
    <row r="22" spans="1:2">
      <c r="A22" s="16" t="s">
        <v>233</v>
      </c>
    </row>
    <row r="23" spans="1:2">
      <c r="A23" s="16" t="s">
        <v>233</v>
      </c>
    </row>
    <row r="24" spans="1:2">
      <c r="A24" s="16" t="s">
        <v>233</v>
      </c>
    </row>
    <row r="25" spans="1:2">
      <c r="A25" s="16" t="s">
        <v>233</v>
      </c>
      <c r="B25" s="17" t="s">
        <v>235</v>
      </c>
    </row>
    <row r="26" spans="1:2">
      <c r="A26" s="16" t="s">
        <v>233</v>
      </c>
      <c r="B26" s="17" t="s">
        <v>158</v>
      </c>
    </row>
    <row r="27" spans="1:2">
      <c r="A27" s="16" t="s">
        <v>233</v>
      </c>
    </row>
    <row r="28" spans="1:2">
      <c r="A28" s="16" t="s">
        <v>233</v>
      </c>
    </row>
    <row r="29" spans="1:2">
      <c r="A29" s="16" t="s">
        <v>233</v>
      </c>
    </row>
    <row r="30" spans="1:2">
      <c r="A30" s="16" t="s">
        <v>233</v>
      </c>
    </row>
    <row r="31" spans="1:2">
      <c r="A31" s="16" t="s">
        <v>233</v>
      </c>
      <c r="B31" s="17" t="s">
        <v>240</v>
      </c>
    </row>
    <row r="32" spans="1:2">
      <c r="A32" s="16" t="s">
        <v>233</v>
      </c>
      <c r="B32" s="17" t="s">
        <v>240</v>
      </c>
    </row>
    <row r="33" spans="1:2">
      <c r="A33" s="16" t="s">
        <v>233</v>
      </c>
    </row>
    <row r="34" spans="1:2">
      <c r="A34" s="16" t="s">
        <v>233</v>
      </c>
      <c r="B34" s="17" t="s">
        <v>240</v>
      </c>
    </row>
    <row r="35" spans="1:2">
      <c r="A35" s="16" t="s">
        <v>233</v>
      </c>
      <c r="B35" s="17" t="s">
        <v>240</v>
      </c>
    </row>
    <row r="36" spans="1:2">
      <c r="A36" s="16" t="s">
        <v>233</v>
      </c>
    </row>
    <row r="37" spans="1:2">
      <c r="A37" s="16" t="s">
        <v>233</v>
      </c>
      <c r="B37" s="17" t="s">
        <v>240</v>
      </c>
    </row>
    <row r="38" spans="1:2">
      <c r="A38" s="16" t="s">
        <v>233</v>
      </c>
      <c r="B38" s="17" t="s">
        <v>240</v>
      </c>
    </row>
    <row r="39" spans="1:2">
      <c r="A39" s="16" t="s">
        <v>233</v>
      </c>
    </row>
    <row r="40" spans="1:2">
      <c r="A40" s="16" t="s">
        <v>233</v>
      </c>
      <c r="B40" s="17" t="s">
        <v>241</v>
      </c>
    </row>
    <row r="41" spans="1:2">
      <c r="A41" s="16" t="s">
        <v>233</v>
      </c>
      <c r="B41" s="17" t="s">
        <v>241</v>
      </c>
    </row>
    <row r="42" spans="1:2">
      <c r="A42" s="16" t="s">
        <v>233</v>
      </c>
    </row>
    <row r="43" spans="1:2">
      <c r="A43" s="16" t="s">
        <v>233</v>
      </c>
      <c r="B43" s="17" t="s">
        <v>241</v>
      </c>
    </row>
    <row r="44" spans="1:2">
      <c r="A44" s="16" t="s">
        <v>233</v>
      </c>
      <c r="B44" s="17" t="s">
        <v>241</v>
      </c>
    </row>
    <row r="45" spans="1:2">
      <c r="A45" s="16" t="s">
        <v>233</v>
      </c>
    </row>
    <row r="46" spans="1:2">
      <c r="A46" s="16" t="s">
        <v>233</v>
      </c>
      <c r="B46" s="17" t="s">
        <v>240</v>
      </c>
    </row>
    <row r="47" spans="1:2">
      <c r="A47" s="16" t="s">
        <v>233</v>
      </c>
      <c r="B47" s="17" t="s">
        <v>240</v>
      </c>
    </row>
    <row r="48" spans="1:2">
      <c r="A48" s="16" t="s">
        <v>233</v>
      </c>
    </row>
    <row r="49" spans="1:2">
      <c r="A49" s="16" t="s">
        <v>233</v>
      </c>
      <c r="B49" s="17" t="s">
        <v>241</v>
      </c>
    </row>
    <row r="50" spans="1:2">
      <c r="A50" s="16" t="s">
        <v>233</v>
      </c>
      <c r="B50" s="17" t="s">
        <v>241</v>
      </c>
    </row>
    <row r="51" spans="1:2">
      <c r="A51" s="16" t="s">
        <v>233</v>
      </c>
    </row>
    <row r="52" spans="1:2">
      <c r="A52" s="16" t="s">
        <v>233</v>
      </c>
      <c r="B52" s="17" t="s">
        <v>240</v>
      </c>
    </row>
    <row r="53" spans="1:2">
      <c r="A53" s="16" t="s">
        <v>233</v>
      </c>
      <c r="B53" s="17" t="s">
        <v>240</v>
      </c>
    </row>
    <row r="54" spans="1:2">
      <c r="A54" s="16" t="s">
        <v>233</v>
      </c>
    </row>
    <row r="55" spans="1:2">
      <c r="A55" s="16" t="s">
        <v>233</v>
      </c>
      <c r="B55" s="17" t="s">
        <v>242</v>
      </c>
    </row>
    <row r="56" spans="1:2">
      <c r="A56" s="16" t="s">
        <v>233</v>
      </c>
      <c r="B56" s="17" t="s">
        <v>242</v>
      </c>
    </row>
    <row r="57" spans="1:2">
      <c r="A57" s="16" t="s">
        <v>233</v>
      </c>
    </row>
    <row r="58" spans="1:2">
      <c r="A58" s="16" t="s">
        <v>233</v>
      </c>
      <c r="B58" s="17" t="s">
        <v>243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Index</vt:lpstr>
      <vt:lpstr>ChuKuJi!Print_Area</vt:lpstr>
      <vt:lpstr>RuKuJi!Print_Area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xinya</cp:lastModifiedBy>
  <cp:lastPrinted>2016-08-18T09:26:35Z</cp:lastPrinted>
  <dcterms:created xsi:type="dcterms:W3CDTF">2006-12-21T07:58:46Z</dcterms:created>
  <dcterms:modified xsi:type="dcterms:W3CDTF">2016-09-21T17:51:41Z</dcterms:modified>
</cp:coreProperties>
</file>